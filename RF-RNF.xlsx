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orge Coronado\OneDrive\Escritorio\Prueba_1\"/>
    </mc:Choice>
  </mc:AlternateContent>
  <xr:revisionPtr revIDLastSave="0" documentId="13_ncr:1_{70F4621A-D3B8-4958-9972-418C377C03A8}" xr6:coauthVersionLast="47" xr6:coauthVersionMax="47" xr10:uidLastSave="{00000000-0000-0000-0000-000000000000}"/>
  <bookViews>
    <workbookView xWindow="-120" yWindow="-120" windowWidth="20730" windowHeight="11040" firstSheet="5" activeTab="9" xr2:uid="{00000000-000D-0000-FFFF-FFFF00000000}"/>
  </bookViews>
  <sheets>
    <sheet name="RF" sheetId="1" r:id="rId1"/>
    <sheet name="RNF" sheetId="2" r:id="rId2"/>
    <sheet name="Reglas de Negocio" sheetId="3" r:id="rId3"/>
    <sheet name="Trazabilidad" sheetId="4" r:id="rId4"/>
    <sheet name="Calidad ISO 25010" sheetId="5" r:id="rId5"/>
    <sheet name="Matriz de Trazabilidad" sheetId="6" r:id="rId6"/>
    <sheet name="Metricas" sheetId="7" r:id="rId7"/>
    <sheet name="MTBF" sheetId="8" r:id="rId8"/>
    <sheet name="MTTR" sheetId="9" r:id="rId9"/>
    <sheet name="Aplicación ACS"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9" l="1"/>
  <c r="A2" i="9" s="1"/>
  <c r="A2" i="8"/>
  <c r="B2" i="7"/>
</calcChain>
</file>

<file path=xl/sharedStrings.xml><?xml version="1.0" encoding="utf-8"?>
<sst xmlns="http://schemas.openxmlformats.org/spreadsheetml/2006/main" count="337" uniqueCount="263">
  <si>
    <t>INSTRUCCIONES: Complete cada fila con la información del requisito funcional</t>
  </si>
  <si>
    <t>Número de requisito</t>
  </si>
  <si>
    <t>Nombre del requisito</t>
  </si>
  <si>
    <t>Descripción breve</t>
  </si>
  <si>
    <t>Tipo (Requisito/Restricción)</t>
  </si>
  <si>
    <t>Fuente del requisito</t>
  </si>
  <si>
    <t>Prioridad (Alta/Media/Baja)</t>
  </si>
  <si>
    <t>Criterio de aceptación</t>
  </si>
  <si>
    <t>Dependencias</t>
  </si>
  <si>
    <t>Estado</t>
  </si>
  <si>
    <t>INSTRUCCIONES: Registre requisitos no funcionales y métricas medibles.</t>
  </si>
  <si>
    <t>Categoría (Usabilidad/Rendimiento/etc.)</t>
  </si>
  <si>
    <t>Descripción</t>
  </si>
  <si>
    <t>Métrica</t>
  </si>
  <si>
    <t>Prioridad</t>
  </si>
  <si>
    <t>INSTRUCCIONES: Documente las reglas que condicionan decisiones del sistema.</t>
  </si>
  <si>
    <t>ID</t>
  </si>
  <si>
    <t>Regla</t>
  </si>
  <si>
    <t>Fuente</t>
  </si>
  <si>
    <t>Impacto</t>
  </si>
  <si>
    <t>INSTRUCCIONES: Relacione requisitos con pruebas, casos de uso y módulos.</t>
  </si>
  <si>
    <t>Requisito</t>
  </si>
  <si>
    <t>Caso de uso</t>
  </si>
  <si>
    <t>Prueba</t>
  </si>
  <si>
    <t>Módulo/Componente</t>
  </si>
  <si>
    <t>RF-01</t>
  </si>
  <si>
    <t>RF-02</t>
  </si>
  <si>
    <t>RF-03</t>
  </si>
  <si>
    <t>RF-04</t>
  </si>
  <si>
    <t>RF-05</t>
  </si>
  <si>
    <t>RF-06</t>
  </si>
  <si>
    <t>RF-07</t>
  </si>
  <si>
    <t>RF-08</t>
  </si>
  <si>
    <t>RF-09</t>
  </si>
  <si>
    <t>Descarga de reportes en PDF</t>
  </si>
  <si>
    <t>Generación de reportes mensuales</t>
  </si>
  <si>
    <t>Recuperación de contraseña</t>
  </si>
  <si>
    <t>Subida de materiales</t>
  </si>
  <si>
    <t>Notificaciones de notas</t>
  </si>
  <si>
    <t>Gestión de perfiles</t>
  </si>
  <si>
    <t>Gestión de permisos</t>
  </si>
  <si>
    <t>Filtrado de estudiantes por curso</t>
  </si>
  <si>
    <t>Registro de auditoría</t>
  </si>
  <si>
    <t>Sistema debe permitir descargar reportes en formato PDF</t>
  </si>
  <si>
    <t>HU-1</t>
  </si>
  <si>
    <t>ALTA</t>
  </si>
  <si>
    <t>Sistema debe generar reportes de uso mensuales automáticos</t>
  </si>
  <si>
    <t>HU-2</t>
  </si>
  <si>
    <t>Media</t>
  </si>
  <si>
    <t>Sistema debe permitir recuperar contraseña mediante correo electrónico</t>
  </si>
  <si>
    <t>HU-3</t>
  </si>
  <si>
    <t>Alta</t>
  </si>
  <si>
    <t>Sistema debe permitir a docentes subir materiales de clase</t>
  </si>
  <si>
    <t>HU-4</t>
  </si>
  <si>
    <t>Sistema debe enviar notificaciones al publicarse calificaciones</t>
  </si>
  <si>
    <t>HU-5</t>
  </si>
  <si>
    <t>Sistema debe permitir administrar perfiles de usuarios</t>
  </si>
  <si>
    <t>HU-6</t>
  </si>
  <si>
    <t>Sistema debe permitir asignar y modificar permisos de usuario</t>
  </si>
  <si>
    <t>Sistema debe permitir filtrar estudiantes según su curso</t>
  </si>
  <si>
    <t>HU-9</t>
  </si>
  <si>
    <t>Sistema debe registrar acciones relevantes de usuarios</t>
  </si>
  <si>
    <t>HU-10</t>
  </si>
  <si>
    <t>RF-009</t>
  </si>
  <si>
    <t>Pendiente</t>
  </si>
  <si>
    <t>Dado que el estudiante está en la sección de reportes, cuando selecciona la opción "Descargar PDF" el sistema genera y descarga el reporte solicitado en PDF.</t>
  </si>
  <si>
    <t>Dado que es el primer día del mes, cuando el sistema verifica la fecha, entonces genera automáticamente un reporte mensual de uso del sistema.</t>
  </si>
  <si>
    <t>Dado que el usuario está en la página de login y selecciona "Olvidé mi contraseña", cuando ingresa su correo registrado, entonces recibe un enlace de recuperación en su bandeja de entrada.</t>
  </si>
  <si>
    <t>Ninguna</t>
  </si>
  <si>
    <t>Dado que el docente está en la sección de materiales del curso, cuando selecciona "Subir material" y selecciona un archivo, entonces el sistema lo almacena y lo asocia al curso correspondiente.</t>
  </si>
  <si>
    <t>Dado que se publica una nueva nota en el sistema, cuando el docente finaliza la publicación, entonces los estudiantes afectados reciben una notificación en su perfil.</t>
  </si>
  <si>
    <t>RF-004</t>
  </si>
  <si>
    <t>Dado que el administrador está en el módulo de usuarios, cuando selecciona un usuario y modifica sus datos, entonces el sistema actualiza la información del perfil.</t>
  </si>
  <si>
    <t>Dado que el administrador está en la sección de permisos, cuando asigna nuevos permisos a un rol, entonces el sistema actualiza los accesos de todos los usuarios con ese rol.</t>
  </si>
  <si>
    <t>RF-006</t>
  </si>
  <si>
    <t>Dado que el docente está en la lista de estudiantes, cuando selecciona un curso específico del filtro, entonces el sistema muestra solo los estudiantes matriculados en ese curso.</t>
  </si>
  <si>
    <t>Dado que un usuario realiza una acción crítica (login, modificación, eliminación), cuando el sistema procesa la acción, entonces registra fecha, usuario, acción y resultado en el log de auditoría.</t>
  </si>
  <si>
    <t>RNF-001</t>
  </si>
  <si>
    <t>Compatibilidad/Usabilidad</t>
  </si>
  <si>
    <t>La plataforma debe ser responsive en dispositivos móviles</t>
  </si>
  <si>
    <t>RNF-002</t>
  </si>
  <si>
    <t>RNF-003</t>
  </si>
  <si>
    <t>RNF-01</t>
  </si>
  <si>
    <t>RNF-02</t>
  </si>
  <si>
    <t>RNF-03</t>
  </si>
  <si>
    <t>RNF-04</t>
  </si>
  <si>
    <t>RNF-05</t>
  </si>
  <si>
    <t>Compatibilidad con iOS 12+ y Android 8+</t>
  </si>
  <si>
    <t>Rendimiento</t>
  </si>
  <si>
    <t>Tiempos de carga menores a 3 segundos</t>
  </si>
  <si>
    <t>Tiempo de respuesta &lt; 3s para el 95% de las peticiones</t>
  </si>
  <si>
    <t>Seguridad</t>
  </si>
  <si>
    <t>Envío seguro de contraseñas por correo</t>
  </si>
  <si>
    <t>Enlace de recuperación debe expirar en 24 horas</t>
  </si>
  <si>
    <t>Usabilidad</t>
  </si>
  <si>
    <t>Interfaz intuitiva para subida de materiales</t>
  </si>
  <si>
    <t>Tiempo de aprendizaje &lt; 5 minutos para nueva funcionalidad</t>
  </si>
  <si>
    <t>Fiabilidad</t>
  </si>
  <si>
    <t>Disponibilidad del sistema</t>
  </si>
  <si>
    <t>99.5% de disponibilidad en horario laboral</t>
  </si>
  <si>
    <t>Dado que el usuario accede desde un celular, cuando navega por la plataforma la interfaz se adapta correctamente al tamaño de pantalla.</t>
  </si>
  <si>
    <t>Dado que el usuario solicita una página o acción, la petición responde en menos de 3 segundos en condiciones normales de red.</t>
  </si>
  <si>
    <t>Dado que se genera un enlace de recuperación, cuando el usuario intenta usarlo después de 24 horas, entonces el sistema lo rechaza y solicita nueva recuperación.</t>
  </si>
  <si>
    <t>Dado que un docente nuevo accede al sistema, cuando intenta subir un material por primera vez  la acción demora menos de 5 minutos sin consultar manuales.</t>
  </si>
  <si>
    <t>RN-001</t>
  </si>
  <si>
    <t>Los estudiantes solo pueden descargar sus propios reportes, no los de otros estudiantes</t>
  </si>
  <si>
    <t>Seguridad de datos</t>
  </si>
  <si>
    <t>RN-002</t>
  </si>
  <si>
    <t>Los reportes mensuales solo pueden ser generados por administradores</t>
  </si>
  <si>
    <t>Control de acceso</t>
  </si>
  <si>
    <t>RN-003</t>
  </si>
  <si>
    <t>El enlace de recuperación de contraseña debe tener un límite de 3 intentos de uso</t>
  </si>
  <si>
    <t>RN-004</t>
  </si>
  <si>
    <t>Los materiales subidos por docentes no deben exceder 100MB por archivo</t>
  </si>
  <si>
    <t>RN-005</t>
  </si>
  <si>
    <t>Las notificaciones de notas deben enviarse máximo 5 minutos después de la publicación</t>
  </si>
  <si>
    <t>Experiencia de usuario</t>
  </si>
  <si>
    <t>RN-006</t>
  </si>
  <si>
    <t>Solo los administradores pueden modificar permisos de otros administradores</t>
  </si>
  <si>
    <t>Jerarquía de permisos</t>
  </si>
  <si>
    <t>RN-007</t>
  </si>
  <si>
    <t>Los logs de auditoría deben conservarse por mínimo 5 años</t>
  </si>
  <si>
    <t>Cumplimiento legal</t>
  </si>
  <si>
    <t>RF-001</t>
  </si>
  <si>
    <t>UC-001</t>
  </si>
  <si>
    <t>TC-001</t>
  </si>
  <si>
    <t>Módulo de Reportes</t>
  </si>
  <si>
    <t>RF-002</t>
  </si>
  <si>
    <t>UC-002</t>
  </si>
  <si>
    <t>TC-002</t>
  </si>
  <si>
    <t>Módulo de Administración</t>
  </si>
  <si>
    <t>RF-003</t>
  </si>
  <si>
    <t>UC-003</t>
  </si>
  <si>
    <t>TC-003</t>
  </si>
  <si>
    <t>Módulo de Autenticación</t>
  </si>
  <si>
    <t>UC-004</t>
  </si>
  <si>
    <t>TC-004</t>
  </si>
  <si>
    <t>Módulo de Contenidos</t>
  </si>
  <si>
    <t>RF-005</t>
  </si>
  <si>
    <t>UC-005</t>
  </si>
  <si>
    <t>TC-005</t>
  </si>
  <si>
    <t>Módulo de Notificaciones</t>
  </si>
  <si>
    <t>UC-006</t>
  </si>
  <si>
    <t>TC-006</t>
  </si>
  <si>
    <t>Módulo de Usuarios</t>
  </si>
  <si>
    <t>RF-007</t>
  </si>
  <si>
    <t>TC-007</t>
  </si>
  <si>
    <t>Módulo de Seguridad</t>
  </si>
  <si>
    <t>RF-008</t>
  </si>
  <si>
    <t>UC-007</t>
  </si>
  <si>
    <t>TC-008</t>
  </si>
  <si>
    <t>Módulo de Docentes</t>
  </si>
  <si>
    <t>UC-008</t>
  </si>
  <si>
    <t>TC-009</t>
  </si>
  <si>
    <t>Módulo de Auditoría</t>
  </si>
  <si>
    <t>UC-009</t>
  </si>
  <si>
    <t>TC-010</t>
  </si>
  <si>
    <t>Frontend/UI</t>
  </si>
  <si>
    <t>UC-010</t>
  </si>
  <si>
    <t>TC-011</t>
  </si>
  <si>
    <t>Backend/Infraestructura</t>
  </si>
  <si>
    <t>TC-012</t>
  </si>
  <si>
    <t>Dimensión</t>
  </si>
  <si>
    <t>Evidencia</t>
  </si>
  <si>
    <t>Justificación</t>
  </si>
  <si>
    <t>HU-1: "Como estudiante, quiero descargar mis reportes en PDF"</t>
  </si>
  <si>
    <t>HU-4: "Como docente, quiero subir materiales de clase"</t>
  </si>
  <si>
    <t>HU-6: "Como administrador, quiero gestionar perfiles y permisos"</t>
  </si>
  <si>
    <t>HU-7: "Como usuario, quiero visualizar correctamente la plataforma desde mi celular"</t>
  </si>
  <si>
    <t>HU-8: "Como estudiante, quiero tiempos de carga menores a 3 segundos"</t>
  </si>
  <si>
    <t>HU-10: "Como administrador, quiero que el sistema registre acciones para auditoría"</t>
  </si>
  <si>
    <t>HU-3: "Como usuario, quiero recuperar mi contraseña mediante correo"</t>
  </si>
  <si>
    <t>HU-7: "...desde mi celular" (implícito: múltiples navegadores/OS)</t>
  </si>
  <si>
    <t> Funcionalidad</t>
  </si>
  <si>
    <t> Eficiencia</t>
  </si>
  <si>
    <t>Confiabilidad</t>
  </si>
  <si>
    <t>HU-2: "Como administrador, quiero generar reportes mensuales"</t>
  </si>
  <si>
    <t xml:space="preserve">HU-1: "...para revisarlos sin conexión" </t>
  </si>
  <si>
    <t>HU-3: Recuperación de contraseña</t>
  </si>
  <si>
    <t>HU-1: "mis reportes"</t>
  </si>
  <si>
    <t>HU-6: "gestionar perfiles y permisos"</t>
  </si>
  <si>
    <t> Portabilidad</t>
  </si>
  <si>
    <t>HU-7: "visualizar correctamente la plataforma desde mi celular"</t>
  </si>
  <si>
    <t>Compatibilidad</t>
  </si>
  <si>
    <t>HU-1: "descargar mis reportes en PDF"</t>
  </si>
  <si>
    <t>Mantenibilidad</t>
  </si>
  <si>
    <t>HU-10: "sistema registre acciones para auditoría"</t>
  </si>
  <si>
    <t>HU-2: Reportes mensuales</t>
  </si>
  <si>
    <t>Estas historias se relacionan con idoneidad funcional, que incluye:
Completitud funcional: Todas las funciones necesarias están presentes
Corrección funcional: Proporciona resultados correctos
Pertinencia funcional: Funciones apropiadas para tareas específicas</t>
  </si>
  <si>
    <t>Capacidad de reconocimiento de la adecuación (responsive design)
Capacidad de aprendizaje (implícito en facilidad de uso)
Operabilidad (acceso offline facilita la operación)
Protección contra errores del usuario
Estética de la interfaz de usuario
Accesibilidad</t>
  </si>
  <si>
    <t>Comportamiento temporal (tiempo de respuesta)
Utilización de recursos (eficiencia en generación de reportes)
Capacidad (volumen de datos manejable)</t>
  </si>
  <si>
    <t>Madurez (sistema estable)
Disponibilidad (accesible cuando se necesita)
Tolerancia a fallos (recuperación de accesos)
Capacidad de recuperación (auditoría permite reconstruir eventos)</t>
  </si>
  <si>
    <t xml:space="preserve"> Confidencialidad (datos accesibles solo a autorizados)
Integridad (protección contra modificaciones no autorizadas)
No repudio (auditoría ayuda a esto)
Responsabilidad (trazabilidad de acciones)
Autenticidad (verificación de identidades)</t>
  </si>
  <si>
    <t>Adaptabilidad (a diferentes entornos móviles)
Capacidad de instalación
Capacidad de reemplazo (podría ser reemplazado por otro sistema)</t>
  </si>
  <si>
    <t>Coexistencia (funciona con otras apps en el dispositivo)
Interoperabilidad (PDF es formato intercambiable)</t>
  </si>
  <si>
    <t>Modularidad
Reusabilidad
Analizabilidad (auditoría ayuda a diagnosticar)
Modificabilidad
Capacidad de prueba</t>
  </si>
  <si>
    <t>UC-001 – Descargar Reporte en PDF</t>
  </si>
  <si>
    <t>TC-001 – Verificar descarga de PDF</t>
  </si>
  <si>
    <t>generateStudentReportPDF()</t>
  </si>
  <si>
    <t>Correcto</t>
  </si>
  <si>
    <t>UC-003 – Recuperar Contraseña</t>
  </si>
  <si>
    <t>TC-003 – Validar envío de correo de recuperación</t>
  </si>
  <si>
    <t>sendPasswordResetEmail()</t>
  </si>
  <si>
    <t>UC-004 – Subir Material de Clase</t>
  </si>
  <si>
    <t>TC-004 – Verificar carga de archivo</t>
  </si>
  <si>
    <t>uploadCourseMaterial()</t>
  </si>
  <si>
    <t>UC-007 – Filtrar Estudiantes por Curso</t>
  </si>
  <si>
    <t>TC-008 – Validar filtrado por curso</t>
  </si>
  <si>
    <t>filterStudentsByCourse()</t>
  </si>
  <si>
    <t>UC-009 – Visualización en Dispositivos Móviles</t>
  </si>
  <si>
    <t>TC-010 – Verificar responsive en pantalla 320px</t>
  </si>
  <si>
    <t>checkMobileResponsive()</t>
  </si>
  <si>
    <t>UC-010 – Carga Rápida de Páginas</t>
  </si>
  <si>
    <t>TC-011 – Medir tiempo de carga dashboard</t>
  </si>
  <si>
    <t>measurePageLoadTime()</t>
  </si>
  <si>
    <t>Caso de Prueba</t>
  </si>
  <si>
    <t>Código</t>
  </si>
  <si>
    <t>Resultado</t>
  </si>
  <si>
    <t>Modulo</t>
  </si>
  <si>
    <t>Densidad de defectos</t>
  </si>
  <si>
    <t>Numero de defectos</t>
  </si>
  <si>
    <t>tamaño del modulo</t>
  </si>
  <si>
    <t>MTBF</t>
  </si>
  <si>
    <t>Tiempo total Operación</t>
  </si>
  <si>
    <t>Numero de falla</t>
  </si>
  <si>
    <t>MTTR</t>
  </si>
  <si>
    <t>Tiempo Total de reparación</t>
  </si>
  <si>
    <t>Numero de fallas</t>
  </si>
  <si>
    <t>Tipo de Riesgo</t>
  </si>
  <si>
    <t>Ejemplo</t>
  </si>
  <si>
    <t>Por qué es un riesgo</t>
  </si>
  <si>
    <t>Cómo A.C.S. lo corrige</t>
  </si>
  <si>
    <t>Ambigüedad</t>
  </si>
  <si>
    <t>“El sistema debe ser rápido”</t>
  </si>
  <si>
    <t>No define qué significa “rápido”, dejando interpretación abierta</t>
  </si>
  <si>
    <t>Desarrollo incorrecto, expectativas no cumplidas</t>
  </si>
  <si>
    <t>FTR (First Time Review) para clarificar requisitos, métricas de tiempo, pruebas de rendimiento</t>
  </si>
  <si>
    <t>Omisión</t>
  </si>
  <si>
    <t>No se menciona cómo recuperar usuarios inactivos</t>
  </si>
  <si>
    <t>Falta una función que puede ser necesaria</t>
  </si>
  <si>
    <t>Usuarios bloqueados, insatisfacción</t>
  </si>
  <si>
    <t>Validación de requisitos, pruebas de casos de uso completos</t>
  </si>
  <si>
    <t>Requisitos no medibles</t>
  </si>
  <si>
    <t>“La plataforma será fácil de usar”</t>
  </si>
  <si>
    <t>No hay indicador cuantitativo para evaluar la facilidad</t>
  </si>
  <si>
    <t>Difícil medir si se cumple, riesgo de baja usabilidad</t>
  </si>
  <si>
    <t>Definición de métricas de usabilidad, encuestas, pruebas de usuario</t>
  </si>
  <si>
    <t>Inconsistencia</t>
  </si>
  <si>
    <t>“El administrador puede eliminar usuarios” vs “No se puede borrar ningún usuario”</t>
  </si>
  <si>
    <t>Conflicto entre requisitos</t>
  </si>
  <si>
    <t>Genera confusión en el desarrollo y errores de implementación</t>
  </si>
  <si>
    <t>FTR, revisión cruzada de requisitos, pruebas de consistencia</t>
  </si>
  <si>
    <t>Suposición no verificada</t>
  </si>
  <si>
    <t>“Todos los estudiantes usan smartphones”</t>
  </si>
  <si>
    <t>Supone que todos tienen dispositivos compatibles</t>
  </si>
  <si>
    <t>Parte del público no podría acceder correctamente</t>
  </si>
  <si>
    <t>Validación con encuestas, pruebas de acceso multiplataforma, ajustes según resultados</t>
  </si>
  <si>
    <t>Inscripciones</t>
  </si>
  <si>
    <t>Mayor</t>
  </si>
  <si>
    <t>Tenemos una densidad de defectos del 7.5% cada 2000 LOC, lo cúal nos indica que nos falta pulir un poco de detalles para cumplir los estandares establecidos de calidad</t>
  </si>
  <si>
    <t>Dado que es horario laboral(8:00-18:00), cuando los usuarios intentan acceder al sistema, entonces está disponible al menos el 99.5% del tiempo.</t>
  </si>
  <si>
    <t>Tenemos como media de 40hrs de funcionamiento sin fallos, de un sistema el cual estará disponible en horario laboral por lo menos de 12hrs diarias y 60hrs semanales, lo cual nos indica que debemos mejorar el aspecto de confiabilidad</t>
  </si>
  <si>
    <t>Tenemos como media de tiempo de reparación 30 minutos, lo cual es un tiempo bastante bueno para un sistema que necesita manejar grandes volumenes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</si>
</sst>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amily val="2"/>
    </font>
    <font>
      <b/>
      <sz val="11"/>
      <color rgb="FFFFFFFF"/>
      <name val="Calibri"/>
      <family val="2"/>
    </font>
    <font>
      <sz val="11"/>
      <color rgb="FFFFFFFF"/>
      <name val="Calibri"/>
      <family val="2"/>
    </font>
    <font>
      <sz val="11"/>
      <color rgb="FF0F1115"/>
      <name val="Segoe UI"/>
      <family val="2"/>
    </font>
    <font>
      <sz val="11"/>
      <color theme="1"/>
      <name val="Arial"/>
      <family val="2"/>
    </font>
    <font>
      <sz val="11"/>
      <color rgb="FF0F1115"/>
      <name val="Arial"/>
      <family val="2"/>
    </font>
    <font>
      <sz val="10"/>
      <color rgb="FF0F1115"/>
      <name val="Arial"/>
      <family val="2"/>
    </font>
    <font>
      <sz val="11"/>
      <color rgb="FF0F1115"/>
      <name val="Segoe UI"/>
      <family val="2"/>
    </font>
    <font>
      <sz val="11"/>
      <color rgb="FF0F1115"/>
      <name val="Arial"/>
      <family val="2"/>
    </font>
    <font>
      <sz val="10"/>
      <color rgb="FF0F1115"/>
      <name val="Monaco"/>
      <family val="3"/>
    </font>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DDD9C4"/>
      </patternFill>
    </fill>
    <fill>
      <patternFill patternType="solid">
        <fgColor rgb="FF4F81BD"/>
      </patternFill>
    </fill>
    <fill>
      <patternFill patternType="solid">
        <fgColor rgb="FFFFFFFF"/>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39997558519241921"/>
        <bgColor indexed="65"/>
      </patternFill>
    </fill>
    <fill>
      <patternFill patternType="solid">
        <fgColor theme="3"/>
        <bgColor indexed="64"/>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1" fillId="7" borderId="0" applyNumberFormat="0" applyBorder="0" applyAlignment="0" applyProtection="0"/>
  </cellStyleXfs>
  <cellXfs count="39">
    <xf numFmtId="0" fontId="0" fillId="0" borderId="0" xfId="0"/>
    <xf numFmtId="0" fontId="0" fillId="0" borderId="0" xfId="0"/>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3" fillId="3" borderId="0" xfId="0" applyFont="1" applyFill="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left" vertical="center" wrapText="1" indent="1"/>
    </xf>
    <xf numFmtId="0" fontId="6" fillId="4" borderId="1" xfId="0" applyFont="1" applyFill="1" applyBorder="1" applyAlignment="1">
      <alignment horizontal="left" vertical="center" wrapText="1" indent="1"/>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0" fillId="5" borderId="0" xfId="0" applyFill="1" applyAlignment="1">
      <alignment horizontal="center" vertical="center"/>
    </xf>
    <xf numFmtId="0" fontId="9"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0" fillId="6" borderId="0" xfId="0" applyFill="1"/>
    <xf numFmtId="0" fontId="0" fillId="0" borderId="0" xfId="0" applyAlignment="1">
      <alignment horizontal="center" vertical="center" wrapText="1"/>
    </xf>
    <xf numFmtId="0" fontId="0" fillId="0" borderId="0" xfId="0" applyAlignment="1"/>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0" fontId="0" fillId="9" borderId="0" xfId="0" applyFill="1" applyAlignment="1">
      <alignment horizontal="center" vertical="center"/>
    </xf>
    <xf numFmtId="0" fontId="11" fillId="7" borderId="0" xfId="1"/>
    <xf numFmtId="0" fontId="0" fillId="0" borderId="0" xfId="0" applyFill="1"/>
    <xf numFmtId="0" fontId="1" fillId="2" borderId="0" xfId="0" applyFont="1" applyFill="1" applyAlignment="1">
      <alignment horizontal="center" vertical="center" wrapText="1"/>
    </xf>
    <xf numFmtId="0" fontId="0" fillId="0" borderId="0" xfId="0" applyAlignment="1">
      <alignment horizontal="center" vertical="center" wrapText="1"/>
    </xf>
    <xf numFmtId="0" fontId="1" fillId="2" borderId="0" xfId="0" applyFont="1" applyFill="1" applyAlignment="1"/>
    <xf numFmtId="0" fontId="0" fillId="0" borderId="0" xfId="0" applyAlignment="1"/>
    <xf numFmtId="0" fontId="1" fillId="2" borderId="0" xfId="0" applyFont="1" applyFill="1"/>
    <xf numFmtId="0" fontId="0" fillId="0" borderId="0" xfId="0"/>
    <xf numFmtId="0" fontId="9" fillId="4" borderId="1" xfId="0" applyFont="1" applyFill="1" applyBorder="1" applyAlignment="1">
      <alignment horizontal="center" vertical="center"/>
    </xf>
    <xf numFmtId="0" fontId="7"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 fillId="2" borderId="0" xfId="0" applyFont="1" applyFill="1" applyAlignment="1">
      <alignment horizontal="center"/>
    </xf>
    <xf numFmtId="0" fontId="0" fillId="0" borderId="0" xfId="0" applyAlignment="1">
      <alignment horizontal="center" wrapText="1"/>
    </xf>
  </cellXfs>
  <cellStyles count="2">
    <cellStyle name="60% - Énfasis1" xfId="1" builtinId="3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opLeftCell="A9" workbookViewId="0">
      <selection activeCell="G3" sqref="G3"/>
    </sheetView>
  </sheetViews>
  <sheetFormatPr baseColWidth="10" defaultRowHeight="15"/>
  <cols>
    <col min="2" max="2" width="34.140625" bestFit="1" customWidth="1"/>
    <col min="3" max="3" width="22.28515625" customWidth="1"/>
    <col min="7" max="7" width="22.85546875" customWidth="1"/>
  </cols>
  <sheetData>
    <row r="1" spans="1:9">
      <c r="A1" s="26" t="s">
        <v>0</v>
      </c>
      <c r="B1" s="27"/>
      <c r="C1" s="27"/>
      <c r="D1" s="27"/>
      <c r="E1" s="27"/>
      <c r="F1" s="27"/>
      <c r="G1" s="27"/>
      <c r="H1" s="27"/>
      <c r="I1" s="27"/>
    </row>
    <row r="2" spans="1:9" ht="45">
      <c r="A2" s="2" t="s">
        <v>1</v>
      </c>
      <c r="B2" s="2" t="s">
        <v>2</v>
      </c>
      <c r="C2" s="2" t="s">
        <v>3</v>
      </c>
      <c r="D2" s="2" t="s">
        <v>4</v>
      </c>
      <c r="E2" s="2" t="s">
        <v>5</v>
      </c>
      <c r="F2" s="2" t="s">
        <v>6</v>
      </c>
      <c r="G2" s="4" t="s">
        <v>7</v>
      </c>
      <c r="H2" s="2" t="s">
        <v>8</v>
      </c>
      <c r="I2" s="2" t="s">
        <v>9</v>
      </c>
    </row>
    <row r="3" spans="1:9" ht="102">
      <c r="A3" s="5" t="s">
        <v>25</v>
      </c>
      <c r="B3" s="6" t="s">
        <v>34</v>
      </c>
      <c r="C3" s="7" t="s">
        <v>43</v>
      </c>
      <c r="D3" s="6" t="s">
        <v>21</v>
      </c>
      <c r="E3" s="5" t="s">
        <v>44</v>
      </c>
      <c r="F3" s="5" t="s">
        <v>45</v>
      </c>
      <c r="G3" s="9" t="s">
        <v>65</v>
      </c>
      <c r="H3" s="10" t="s">
        <v>63</v>
      </c>
      <c r="I3" s="10" t="s">
        <v>64</v>
      </c>
    </row>
    <row r="4" spans="1:9" ht="89.25">
      <c r="A4" s="5" t="s">
        <v>26</v>
      </c>
      <c r="B4" s="6" t="s">
        <v>35</v>
      </c>
      <c r="C4" s="8" t="s">
        <v>46</v>
      </c>
      <c r="D4" s="8" t="s">
        <v>21</v>
      </c>
      <c r="E4" s="8" t="s">
        <v>47</v>
      </c>
      <c r="F4" s="8" t="s">
        <v>48</v>
      </c>
      <c r="G4" s="9" t="s">
        <v>66</v>
      </c>
      <c r="H4" s="10" t="s">
        <v>63</v>
      </c>
      <c r="I4" s="10" t="s">
        <v>64</v>
      </c>
    </row>
    <row r="5" spans="1:9" ht="127.5">
      <c r="A5" s="5" t="s">
        <v>27</v>
      </c>
      <c r="B5" s="6" t="s">
        <v>36</v>
      </c>
      <c r="C5" s="8" t="s">
        <v>49</v>
      </c>
      <c r="D5" s="8" t="s">
        <v>21</v>
      </c>
      <c r="E5" s="8" t="s">
        <v>50</v>
      </c>
      <c r="F5" s="8" t="s">
        <v>51</v>
      </c>
      <c r="G5" s="9" t="s">
        <v>67</v>
      </c>
      <c r="H5" s="10" t="s">
        <v>68</v>
      </c>
      <c r="I5" s="10" t="s">
        <v>64</v>
      </c>
    </row>
    <row r="6" spans="1:9" ht="114.75">
      <c r="A6" s="5" t="s">
        <v>28</v>
      </c>
      <c r="B6" s="6" t="s">
        <v>37</v>
      </c>
      <c r="C6" s="8" t="s">
        <v>52</v>
      </c>
      <c r="D6" s="8" t="s">
        <v>21</v>
      </c>
      <c r="E6" s="8" t="s">
        <v>53</v>
      </c>
      <c r="F6" s="8" t="s">
        <v>51</v>
      </c>
      <c r="G6" s="9" t="s">
        <v>69</v>
      </c>
      <c r="H6" s="10" t="s">
        <v>63</v>
      </c>
      <c r="I6" s="10" t="s">
        <v>64</v>
      </c>
    </row>
    <row r="7" spans="1:9" ht="102">
      <c r="A7" s="5" t="s">
        <v>29</v>
      </c>
      <c r="B7" s="6" t="s">
        <v>38</v>
      </c>
      <c r="C7" s="8" t="s">
        <v>54</v>
      </c>
      <c r="D7" s="8" t="s">
        <v>21</v>
      </c>
      <c r="E7" s="8" t="s">
        <v>55</v>
      </c>
      <c r="F7" s="8" t="s">
        <v>48</v>
      </c>
      <c r="G7" s="9" t="s">
        <v>70</v>
      </c>
      <c r="H7" s="10" t="s">
        <v>71</v>
      </c>
      <c r="I7" s="10" t="s">
        <v>64</v>
      </c>
    </row>
    <row r="8" spans="1:9" ht="102">
      <c r="A8" s="5" t="s">
        <v>30</v>
      </c>
      <c r="B8" s="6" t="s">
        <v>39</v>
      </c>
      <c r="C8" s="8" t="s">
        <v>56</v>
      </c>
      <c r="D8" s="8" t="s">
        <v>21</v>
      </c>
      <c r="E8" s="8" t="s">
        <v>57</v>
      </c>
      <c r="F8" s="8" t="s">
        <v>51</v>
      </c>
      <c r="G8" s="9" t="s">
        <v>72</v>
      </c>
      <c r="H8" s="10" t="s">
        <v>63</v>
      </c>
      <c r="I8" s="10" t="s">
        <v>64</v>
      </c>
    </row>
    <row r="9" spans="1:9" ht="114.75">
      <c r="A9" s="5" t="s">
        <v>31</v>
      </c>
      <c r="B9" s="6" t="s">
        <v>40</v>
      </c>
      <c r="C9" s="8" t="s">
        <v>58</v>
      </c>
      <c r="D9" s="8" t="s">
        <v>21</v>
      </c>
      <c r="E9" s="8" t="s">
        <v>57</v>
      </c>
      <c r="F9" s="8" t="s">
        <v>51</v>
      </c>
      <c r="G9" s="9" t="s">
        <v>73</v>
      </c>
      <c r="H9" s="10" t="s">
        <v>74</v>
      </c>
      <c r="I9" s="10" t="s">
        <v>64</v>
      </c>
    </row>
    <row r="10" spans="1:9" ht="127.5">
      <c r="A10" s="5" t="s">
        <v>32</v>
      </c>
      <c r="B10" s="6" t="s">
        <v>41</v>
      </c>
      <c r="C10" s="8" t="s">
        <v>59</v>
      </c>
      <c r="D10" s="8" t="s">
        <v>21</v>
      </c>
      <c r="E10" s="8" t="s">
        <v>60</v>
      </c>
      <c r="F10" s="8" t="s">
        <v>48</v>
      </c>
      <c r="G10" s="9" t="s">
        <v>75</v>
      </c>
      <c r="H10" s="10" t="s">
        <v>74</v>
      </c>
      <c r="I10" s="10" t="s">
        <v>64</v>
      </c>
    </row>
    <row r="11" spans="1:9" ht="127.5">
      <c r="A11" s="5" t="s">
        <v>33</v>
      </c>
      <c r="B11" s="6" t="s">
        <v>42</v>
      </c>
      <c r="C11" s="8" t="s">
        <v>61</v>
      </c>
      <c r="D11" s="8" t="s">
        <v>21</v>
      </c>
      <c r="E11" s="8" t="s">
        <v>62</v>
      </c>
      <c r="F11" s="8" t="s">
        <v>48</v>
      </c>
      <c r="G11" s="9" t="s">
        <v>76</v>
      </c>
      <c r="H11" s="10" t="s">
        <v>68</v>
      </c>
      <c r="I11" s="10" t="s">
        <v>64</v>
      </c>
    </row>
  </sheetData>
  <mergeCells count="1">
    <mergeCell ref="A1:I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opLeftCell="A5" workbookViewId="0">
      <selection activeCell="F7" sqref="F7"/>
    </sheetView>
  </sheetViews>
  <sheetFormatPr baseColWidth="10" defaultRowHeight="15"/>
  <cols>
    <col min="2" max="2" width="22.7109375" customWidth="1"/>
    <col min="3" max="3" width="22.85546875" customWidth="1"/>
    <col min="4" max="4" width="23" customWidth="1"/>
    <col min="6" max="6" width="23" customWidth="1"/>
  </cols>
  <sheetData>
    <row r="1" spans="1:7">
      <c r="A1" s="26" t="s">
        <v>10</v>
      </c>
      <c r="B1" s="27"/>
      <c r="C1" s="27"/>
      <c r="D1" s="27"/>
      <c r="E1" s="27"/>
      <c r="F1" s="27"/>
      <c r="G1" s="27"/>
    </row>
    <row r="2" spans="1:7" ht="45">
      <c r="A2" s="2" t="s">
        <v>1</v>
      </c>
      <c r="B2" s="2" t="s">
        <v>11</v>
      </c>
      <c r="C2" s="2" t="s">
        <v>12</v>
      </c>
      <c r="D2" s="2" t="s">
        <v>13</v>
      </c>
      <c r="E2" s="2" t="s">
        <v>14</v>
      </c>
      <c r="F2" s="2" t="s">
        <v>7</v>
      </c>
      <c r="G2" s="2" t="s">
        <v>9</v>
      </c>
    </row>
    <row r="3" spans="1:7" ht="76.5">
      <c r="A3" s="8" t="s">
        <v>82</v>
      </c>
      <c r="B3" s="8" t="s">
        <v>78</v>
      </c>
      <c r="C3" s="8" t="s">
        <v>79</v>
      </c>
      <c r="D3" s="7" t="s">
        <v>87</v>
      </c>
      <c r="E3" s="8" t="s">
        <v>51</v>
      </c>
      <c r="F3" s="12" t="s">
        <v>100</v>
      </c>
      <c r="G3" s="8" t="s">
        <v>64</v>
      </c>
    </row>
    <row r="4" spans="1:7" ht="76.5">
      <c r="A4" s="8" t="s">
        <v>83</v>
      </c>
      <c r="B4" s="8" t="s">
        <v>88</v>
      </c>
      <c r="C4" s="8" t="s">
        <v>89</v>
      </c>
      <c r="D4" s="8" t="s">
        <v>90</v>
      </c>
      <c r="E4" s="8" t="s">
        <v>51</v>
      </c>
      <c r="F4" s="12" t="s">
        <v>101</v>
      </c>
      <c r="G4" s="8" t="s">
        <v>64</v>
      </c>
    </row>
    <row r="5" spans="1:7" ht="102">
      <c r="A5" s="8" t="s">
        <v>84</v>
      </c>
      <c r="B5" s="8" t="s">
        <v>91</v>
      </c>
      <c r="C5" s="8" t="s">
        <v>92</v>
      </c>
      <c r="D5" s="8" t="s">
        <v>93</v>
      </c>
      <c r="E5" s="8" t="s">
        <v>51</v>
      </c>
      <c r="F5" s="12" t="s">
        <v>102</v>
      </c>
      <c r="G5" s="8" t="s">
        <v>64</v>
      </c>
    </row>
    <row r="6" spans="1:7" ht="89.25">
      <c r="A6" s="8" t="s">
        <v>85</v>
      </c>
      <c r="B6" s="8" t="s">
        <v>94</v>
      </c>
      <c r="C6" s="8" t="s">
        <v>95</v>
      </c>
      <c r="D6" s="8" t="s">
        <v>96</v>
      </c>
      <c r="E6" s="8" t="s">
        <v>48</v>
      </c>
      <c r="F6" s="12" t="s">
        <v>103</v>
      </c>
      <c r="G6" s="8" t="s">
        <v>64</v>
      </c>
    </row>
    <row r="7" spans="1:7" ht="89.25">
      <c r="A7" s="8" t="s">
        <v>86</v>
      </c>
      <c r="B7" s="8" t="s">
        <v>97</v>
      </c>
      <c r="C7" s="8" t="s">
        <v>98</v>
      </c>
      <c r="D7" s="8" t="s">
        <v>99</v>
      </c>
      <c r="E7" s="8" t="s">
        <v>45</v>
      </c>
      <c r="F7" s="12" t="s">
        <v>260</v>
      </c>
      <c r="G7" s="8" t="s">
        <v>64</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B5" sqref="B5"/>
    </sheetView>
  </sheetViews>
  <sheetFormatPr baseColWidth="10" defaultRowHeight="15"/>
  <cols>
    <col min="2" max="2" width="32.42578125" customWidth="1"/>
    <col min="4" max="4" width="22.5703125" bestFit="1" customWidth="1"/>
  </cols>
  <sheetData>
    <row r="1" spans="1:4">
      <c r="A1" s="28" t="s">
        <v>15</v>
      </c>
      <c r="B1" s="29"/>
      <c r="C1" s="29"/>
      <c r="D1" s="29"/>
    </row>
    <row r="2" spans="1:4">
      <c r="A2" s="3" t="s">
        <v>16</v>
      </c>
      <c r="B2" s="3" t="s">
        <v>17</v>
      </c>
      <c r="C2" s="3" t="s">
        <v>18</v>
      </c>
      <c r="D2" s="3" t="s">
        <v>19</v>
      </c>
    </row>
    <row r="3" spans="1:4" ht="38.25">
      <c r="A3" s="8" t="s">
        <v>104</v>
      </c>
      <c r="B3" s="12" t="s">
        <v>105</v>
      </c>
      <c r="C3" s="8" t="s">
        <v>44</v>
      </c>
      <c r="D3" s="13" t="s">
        <v>106</v>
      </c>
    </row>
    <row r="4" spans="1:4" ht="25.5">
      <c r="A4" s="8" t="s">
        <v>107</v>
      </c>
      <c r="B4" s="12" t="s">
        <v>108</v>
      </c>
      <c r="C4" s="8" t="s">
        <v>47</v>
      </c>
      <c r="D4" s="13" t="s">
        <v>109</v>
      </c>
    </row>
    <row r="5" spans="1:4" ht="38.25">
      <c r="A5" s="8" t="s">
        <v>110</v>
      </c>
      <c r="B5" s="12" t="s">
        <v>111</v>
      </c>
      <c r="C5" s="8" t="s">
        <v>50</v>
      </c>
      <c r="D5" s="13" t="s">
        <v>91</v>
      </c>
    </row>
    <row r="6" spans="1:4" ht="25.5">
      <c r="A6" s="8" t="s">
        <v>112</v>
      </c>
      <c r="B6" s="12" t="s">
        <v>113</v>
      </c>
      <c r="C6" s="8" t="s">
        <v>53</v>
      </c>
      <c r="D6" s="13" t="s">
        <v>88</v>
      </c>
    </row>
    <row r="7" spans="1:4" ht="38.25">
      <c r="A7" s="8" t="s">
        <v>114</v>
      </c>
      <c r="B7" s="12" t="s">
        <v>115</v>
      </c>
      <c r="C7" s="8" t="s">
        <v>55</v>
      </c>
      <c r="D7" s="13" t="s">
        <v>116</v>
      </c>
    </row>
    <row r="8" spans="1:4" ht="38.25">
      <c r="A8" s="8" t="s">
        <v>117</v>
      </c>
      <c r="B8" s="12" t="s">
        <v>118</v>
      </c>
      <c r="C8" s="8" t="s">
        <v>57</v>
      </c>
      <c r="D8" s="13" t="s">
        <v>119</v>
      </c>
    </row>
    <row r="9" spans="1:4" ht="25.5">
      <c r="A9" s="8" t="s">
        <v>120</v>
      </c>
      <c r="B9" s="12" t="s">
        <v>121</v>
      </c>
      <c r="C9" s="8" t="s">
        <v>62</v>
      </c>
      <c r="D9" s="13" t="s">
        <v>122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workbookViewId="0">
      <selection sqref="A1:D2"/>
    </sheetView>
  </sheetViews>
  <sheetFormatPr baseColWidth="10" defaultRowHeight="15"/>
  <cols>
    <col min="4" max="4" width="28" bestFit="1" customWidth="1"/>
  </cols>
  <sheetData>
    <row r="1" spans="1:4">
      <c r="A1" s="30" t="s">
        <v>20</v>
      </c>
      <c r="B1" s="31"/>
      <c r="C1" s="31"/>
      <c r="D1" s="31"/>
    </row>
    <row r="2" spans="1:4">
      <c r="A2" s="3" t="s">
        <v>21</v>
      </c>
      <c r="B2" s="3" t="s">
        <v>22</v>
      </c>
      <c r="C2" s="3" t="s">
        <v>23</v>
      </c>
      <c r="D2" s="3" t="s">
        <v>24</v>
      </c>
    </row>
    <row r="3" spans="1:4">
      <c r="A3" s="13" t="s">
        <v>123</v>
      </c>
      <c r="B3" s="13" t="s">
        <v>124</v>
      </c>
      <c r="C3" s="13" t="s">
        <v>125</v>
      </c>
      <c r="D3" s="13" t="s">
        <v>126</v>
      </c>
    </row>
    <row r="4" spans="1:4">
      <c r="A4" s="13" t="s">
        <v>127</v>
      </c>
      <c r="B4" s="13" t="s">
        <v>128</v>
      </c>
      <c r="C4" s="13" t="s">
        <v>129</v>
      </c>
      <c r="D4" s="13" t="s">
        <v>130</v>
      </c>
    </row>
    <row r="5" spans="1:4">
      <c r="A5" s="13" t="s">
        <v>131</v>
      </c>
      <c r="B5" s="13" t="s">
        <v>132</v>
      </c>
      <c r="C5" s="13" t="s">
        <v>133</v>
      </c>
      <c r="D5" s="13" t="s">
        <v>134</v>
      </c>
    </row>
    <row r="6" spans="1:4">
      <c r="A6" s="13" t="s">
        <v>71</v>
      </c>
      <c r="B6" s="13" t="s">
        <v>135</v>
      </c>
      <c r="C6" s="13" t="s">
        <v>136</v>
      </c>
      <c r="D6" s="13" t="s">
        <v>137</v>
      </c>
    </row>
    <row r="7" spans="1:4">
      <c r="A7" s="13" t="s">
        <v>138</v>
      </c>
      <c r="B7" s="13" t="s">
        <v>139</v>
      </c>
      <c r="C7" s="13" t="s">
        <v>140</v>
      </c>
      <c r="D7" s="13" t="s">
        <v>141</v>
      </c>
    </row>
    <row r="8" spans="1:4">
      <c r="A8" s="13" t="s">
        <v>74</v>
      </c>
      <c r="B8" s="13" t="s">
        <v>142</v>
      </c>
      <c r="C8" s="13" t="s">
        <v>143</v>
      </c>
      <c r="D8" s="13" t="s">
        <v>144</v>
      </c>
    </row>
    <row r="9" spans="1:4">
      <c r="A9" s="13" t="s">
        <v>145</v>
      </c>
      <c r="B9" s="13" t="s">
        <v>142</v>
      </c>
      <c r="C9" s="13" t="s">
        <v>146</v>
      </c>
      <c r="D9" s="13" t="s">
        <v>147</v>
      </c>
    </row>
    <row r="10" spans="1:4">
      <c r="A10" s="13" t="s">
        <v>148</v>
      </c>
      <c r="B10" s="13" t="s">
        <v>149</v>
      </c>
      <c r="C10" s="13" t="s">
        <v>150</v>
      </c>
      <c r="D10" s="13" t="s">
        <v>151</v>
      </c>
    </row>
    <row r="11" spans="1:4">
      <c r="A11" s="13" t="s">
        <v>63</v>
      </c>
      <c r="B11" s="13" t="s">
        <v>152</v>
      </c>
      <c r="C11" s="13" t="s">
        <v>153</v>
      </c>
      <c r="D11" s="13" t="s">
        <v>154</v>
      </c>
    </row>
    <row r="12" spans="1:4">
      <c r="A12" s="13" t="s">
        <v>77</v>
      </c>
      <c r="B12" s="13" t="s">
        <v>155</v>
      </c>
      <c r="C12" s="13" t="s">
        <v>156</v>
      </c>
      <c r="D12" s="13" t="s">
        <v>157</v>
      </c>
    </row>
    <row r="13" spans="1:4">
      <c r="A13" s="13" t="s">
        <v>80</v>
      </c>
      <c r="B13" s="13" t="s">
        <v>158</v>
      </c>
      <c r="C13" s="13" t="s">
        <v>159</v>
      </c>
      <c r="D13" s="13" t="s">
        <v>160</v>
      </c>
    </row>
    <row r="14" spans="1:4">
      <c r="A14" s="13" t="s">
        <v>81</v>
      </c>
      <c r="B14" s="13" t="s">
        <v>132</v>
      </c>
      <c r="C14" s="13" t="s">
        <v>161</v>
      </c>
      <c r="D14" s="13" t="s">
        <v>147</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topLeftCell="A11" workbookViewId="0">
      <selection activeCell="B14" sqref="B14"/>
    </sheetView>
  </sheetViews>
  <sheetFormatPr baseColWidth="10" defaultRowHeight="15"/>
  <cols>
    <col min="1" max="1" width="17.140625" bestFit="1" customWidth="1"/>
    <col min="2" max="2" width="34.5703125" customWidth="1"/>
    <col min="3" max="3" width="58.42578125" bestFit="1" customWidth="1"/>
  </cols>
  <sheetData>
    <row r="1" spans="1:3">
      <c r="A1" s="14" t="s">
        <v>162</v>
      </c>
      <c r="B1" s="14" t="s">
        <v>163</v>
      </c>
      <c r="C1" s="14" t="s">
        <v>164</v>
      </c>
    </row>
    <row r="2" spans="1:3" ht="28.5">
      <c r="A2" s="32" t="s">
        <v>173</v>
      </c>
      <c r="B2" s="8" t="s">
        <v>165</v>
      </c>
      <c r="C2" s="33" t="s">
        <v>188</v>
      </c>
    </row>
    <row r="3" spans="1:3" ht="28.5">
      <c r="A3" s="32"/>
      <c r="B3" s="8" t="s">
        <v>166</v>
      </c>
      <c r="C3" s="34"/>
    </row>
    <row r="4" spans="1:3" ht="28.5">
      <c r="A4" s="32"/>
      <c r="B4" s="8" t="s">
        <v>167</v>
      </c>
      <c r="C4" s="35"/>
    </row>
    <row r="5" spans="1:3" ht="42.75">
      <c r="A5" s="32" t="s">
        <v>94</v>
      </c>
      <c r="B5" s="8" t="s">
        <v>168</v>
      </c>
      <c r="C5" s="33" t="s">
        <v>189</v>
      </c>
    </row>
    <row r="6" spans="1:3" ht="28.5">
      <c r="A6" s="32"/>
      <c r="B6" s="8" t="s">
        <v>177</v>
      </c>
      <c r="C6" s="35"/>
    </row>
    <row r="7" spans="1:3" ht="49.5" customHeight="1">
      <c r="A7" s="32" t="s">
        <v>174</v>
      </c>
      <c r="B7" s="8" t="s">
        <v>169</v>
      </c>
      <c r="C7" s="36" t="s">
        <v>190</v>
      </c>
    </row>
    <row r="8" spans="1:3" ht="28.5">
      <c r="A8" s="32"/>
      <c r="B8" s="8" t="s">
        <v>176</v>
      </c>
      <c r="C8" s="36"/>
    </row>
    <row r="9" spans="1:3" ht="49.5" customHeight="1">
      <c r="A9" s="32" t="s">
        <v>175</v>
      </c>
      <c r="B9" s="8" t="s">
        <v>170</v>
      </c>
      <c r="C9" s="36" t="s">
        <v>191</v>
      </c>
    </row>
    <row r="10" spans="1:3">
      <c r="A10" s="32"/>
      <c r="B10" s="8" t="s">
        <v>178</v>
      </c>
      <c r="C10" s="36"/>
    </row>
    <row r="11" spans="1:3" ht="42.75">
      <c r="A11" s="32" t="s">
        <v>91</v>
      </c>
      <c r="B11" s="10" t="s">
        <v>171</v>
      </c>
      <c r="C11" s="36" t="s">
        <v>192</v>
      </c>
    </row>
    <row r="12" spans="1:3" ht="28.5">
      <c r="A12" s="32"/>
      <c r="B12" s="10" t="s">
        <v>180</v>
      </c>
      <c r="C12" s="36"/>
    </row>
    <row r="13" spans="1:3">
      <c r="A13" s="32"/>
      <c r="B13" s="10" t="s">
        <v>179</v>
      </c>
      <c r="C13" s="36"/>
    </row>
    <row r="14" spans="1:3" ht="38.25">
      <c r="A14" s="15" t="s">
        <v>181</v>
      </c>
      <c r="B14" s="10" t="s">
        <v>182</v>
      </c>
      <c r="C14" s="12" t="s">
        <v>193</v>
      </c>
    </row>
    <row r="15" spans="1:3" ht="42.75">
      <c r="A15" s="32" t="s">
        <v>183</v>
      </c>
      <c r="B15" s="10" t="s">
        <v>172</v>
      </c>
      <c r="C15" s="36" t="s">
        <v>194</v>
      </c>
    </row>
    <row r="16" spans="1:3" ht="28.5">
      <c r="A16" s="32"/>
      <c r="B16" s="10" t="s">
        <v>184</v>
      </c>
      <c r="C16" s="36"/>
    </row>
    <row r="17" spans="1:3" ht="59.25" customHeight="1">
      <c r="A17" s="32" t="s">
        <v>185</v>
      </c>
      <c r="B17" s="10" t="s">
        <v>186</v>
      </c>
      <c r="C17" s="36" t="s">
        <v>195</v>
      </c>
    </row>
    <row r="18" spans="1:3">
      <c r="A18" s="32"/>
      <c r="B18" s="10" t="s">
        <v>187</v>
      </c>
      <c r="C18" s="36"/>
    </row>
  </sheetData>
  <mergeCells count="14">
    <mergeCell ref="A17:A18"/>
    <mergeCell ref="C17:C18"/>
    <mergeCell ref="A9:A10"/>
    <mergeCell ref="C9:C10"/>
    <mergeCell ref="A11:A13"/>
    <mergeCell ref="C11:C13"/>
    <mergeCell ref="A15:A16"/>
    <mergeCell ref="C15:C16"/>
    <mergeCell ref="A2:A4"/>
    <mergeCell ref="C2:C4"/>
    <mergeCell ref="A5:A6"/>
    <mergeCell ref="C5:C6"/>
    <mergeCell ref="A7:A8"/>
    <mergeCell ref="C7:C8"/>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election sqref="A1:E1"/>
    </sheetView>
  </sheetViews>
  <sheetFormatPr baseColWidth="10" defaultRowHeight="15"/>
  <cols>
    <col min="2" max="2" width="25.85546875" customWidth="1"/>
    <col min="3" max="3" width="35" customWidth="1"/>
    <col min="4" max="4" width="20.5703125" bestFit="1" customWidth="1"/>
    <col min="5" max="5" width="10.42578125" bestFit="1" customWidth="1"/>
  </cols>
  <sheetData>
    <row r="1" spans="1:5">
      <c r="A1" s="37" t="s">
        <v>20</v>
      </c>
      <c r="B1" s="37"/>
      <c r="C1" s="37"/>
      <c r="D1" s="37"/>
      <c r="E1" s="37"/>
    </row>
    <row r="2" spans="1:5">
      <c r="A2" s="3" t="s">
        <v>21</v>
      </c>
      <c r="B2" s="3" t="s">
        <v>22</v>
      </c>
      <c r="C2" s="3" t="s">
        <v>215</v>
      </c>
      <c r="D2" s="3" t="s">
        <v>216</v>
      </c>
      <c r="E2" s="3" t="s">
        <v>217</v>
      </c>
    </row>
    <row r="3" spans="1:5" ht="33">
      <c r="A3" s="16" t="s">
        <v>123</v>
      </c>
      <c r="B3" s="11" t="s">
        <v>196</v>
      </c>
      <c r="C3" s="11" t="s">
        <v>197</v>
      </c>
      <c r="D3" s="17" t="s">
        <v>198</v>
      </c>
      <c r="E3" s="11" t="s">
        <v>199</v>
      </c>
    </row>
    <row r="4" spans="1:5" ht="33">
      <c r="A4" s="16" t="s">
        <v>131</v>
      </c>
      <c r="B4" s="11" t="s">
        <v>200</v>
      </c>
      <c r="C4" s="11" t="s">
        <v>201</v>
      </c>
      <c r="D4" s="17" t="s">
        <v>202</v>
      </c>
      <c r="E4" s="11" t="s">
        <v>199</v>
      </c>
    </row>
    <row r="5" spans="1:5" ht="33">
      <c r="A5" s="16" t="s">
        <v>71</v>
      </c>
      <c r="B5" s="11" t="s">
        <v>203</v>
      </c>
      <c r="C5" s="11" t="s">
        <v>204</v>
      </c>
      <c r="D5" s="17" t="s">
        <v>205</v>
      </c>
      <c r="E5" s="11" t="s">
        <v>199</v>
      </c>
    </row>
    <row r="6" spans="1:5" ht="33">
      <c r="A6" s="16" t="s">
        <v>148</v>
      </c>
      <c r="B6" s="11" t="s">
        <v>206</v>
      </c>
      <c r="C6" s="11" t="s">
        <v>207</v>
      </c>
      <c r="D6" s="17" t="s">
        <v>208</v>
      </c>
      <c r="E6" s="11" t="s">
        <v>199</v>
      </c>
    </row>
    <row r="7" spans="1:5" ht="33">
      <c r="A7" s="16" t="s">
        <v>77</v>
      </c>
      <c r="B7" s="11" t="s">
        <v>209</v>
      </c>
      <c r="C7" s="11" t="s">
        <v>210</v>
      </c>
      <c r="D7" s="17" t="s">
        <v>211</v>
      </c>
      <c r="E7" s="11" t="s">
        <v>199</v>
      </c>
    </row>
    <row r="8" spans="1:5" ht="33">
      <c r="A8" s="16" t="s">
        <v>80</v>
      </c>
      <c r="B8" s="11" t="s">
        <v>212</v>
      </c>
      <c r="C8" s="11" t="s">
        <v>213</v>
      </c>
      <c r="D8" s="17" t="s">
        <v>214</v>
      </c>
      <c r="E8" s="11" t="s">
        <v>199</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583D-6BA7-4FBB-9D6A-53BF2B574A9B}">
  <dimension ref="A1:D8"/>
  <sheetViews>
    <sheetView workbookViewId="0">
      <selection activeCell="A6" sqref="A6:D8"/>
    </sheetView>
  </sheetViews>
  <sheetFormatPr baseColWidth="10" defaultRowHeight="15"/>
  <cols>
    <col min="1" max="1" width="12.5703125" bestFit="1" customWidth="1"/>
    <col min="2" max="2" width="20.28515625" bestFit="1" customWidth="1"/>
    <col min="3" max="3" width="19.28515625" bestFit="1" customWidth="1"/>
    <col min="4" max="4" width="18.42578125" bestFit="1" customWidth="1"/>
  </cols>
  <sheetData>
    <row r="1" spans="1:4">
      <c r="A1" s="24" t="s">
        <v>218</v>
      </c>
      <c r="B1" s="24" t="s">
        <v>219</v>
      </c>
      <c r="C1" s="24" t="s">
        <v>220</v>
      </c>
      <c r="D1" s="24" t="s">
        <v>221</v>
      </c>
    </row>
    <row r="2" spans="1:4">
      <c r="A2" s="18" t="s">
        <v>257</v>
      </c>
      <c r="B2" s="1">
        <f>$C2/$D2</f>
        <v>7.4999999999999997E-3</v>
      </c>
      <c r="C2" s="1">
        <v>15</v>
      </c>
      <c r="D2" s="1">
        <v>2000</v>
      </c>
    </row>
    <row r="3" spans="1:4">
      <c r="A3" s="25"/>
      <c r="B3" s="1"/>
      <c r="C3" s="1"/>
      <c r="D3" s="1"/>
    </row>
    <row r="6" spans="1:4">
      <c r="A6" s="38" t="s">
        <v>259</v>
      </c>
      <c r="B6" s="38"/>
      <c r="C6" s="38"/>
      <c r="D6" s="38"/>
    </row>
    <row r="7" spans="1:4">
      <c r="A7" s="38"/>
      <c r="B7" s="38"/>
      <c r="C7" s="38"/>
      <c r="D7" s="38"/>
    </row>
    <row r="8" spans="1:4">
      <c r="A8" s="38"/>
      <c r="B8" s="38"/>
      <c r="C8" s="38"/>
      <c r="D8" s="38"/>
    </row>
  </sheetData>
  <mergeCells count="1">
    <mergeCell ref="A6:D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0D40-6EBF-4432-A06F-7B57EC71C6FC}">
  <dimension ref="A1:C8"/>
  <sheetViews>
    <sheetView workbookViewId="0">
      <selection activeCell="A4" sqref="A4:C8"/>
    </sheetView>
  </sheetViews>
  <sheetFormatPr baseColWidth="10" defaultRowHeight="15"/>
  <cols>
    <col min="2" max="2" width="22.140625" bestFit="1" customWidth="1"/>
    <col min="3" max="3" width="15.28515625" bestFit="1" customWidth="1"/>
  </cols>
  <sheetData>
    <row r="1" spans="1:3">
      <c r="A1" s="24" t="s">
        <v>222</v>
      </c>
      <c r="B1" s="24" t="s">
        <v>223</v>
      </c>
      <c r="C1" s="24" t="s">
        <v>224</v>
      </c>
    </row>
    <row r="2" spans="1:3">
      <c r="A2" s="1">
        <f>$B2/$C2</f>
        <v>40</v>
      </c>
      <c r="B2" s="1">
        <v>120</v>
      </c>
      <c r="C2" s="1">
        <v>3</v>
      </c>
    </row>
    <row r="4" spans="1:3">
      <c r="A4" s="38" t="s">
        <v>261</v>
      </c>
      <c r="B4" s="38"/>
      <c r="C4" s="38"/>
    </row>
    <row r="5" spans="1:3">
      <c r="A5" s="38"/>
      <c r="B5" s="38"/>
      <c r="C5" s="38"/>
    </row>
    <row r="6" spans="1:3">
      <c r="A6" s="38"/>
      <c r="B6" s="38"/>
      <c r="C6" s="38"/>
    </row>
    <row r="7" spans="1:3">
      <c r="A7" s="38"/>
      <c r="B7" s="38"/>
      <c r="C7" s="38"/>
    </row>
    <row r="8" spans="1:3">
      <c r="A8" s="38"/>
      <c r="B8" s="38"/>
      <c r="C8" s="38"/>
    </row>
  </sheetData>
  <mergeCells count="1">
    <mergeCell ref="A4: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A2C6-7E3A-4E70-B865-C0873A802D29}">
  <dimension ref="A1:D11"/>
  <sheetViews>
    <sheetView workbookViewId="0">
      <selection activeCell="A11" sqref="A11"/>
    </sheetView>
  </sheetViews>
  <sheetFormatPr baseColWidth="10" defaultRowHeight="15"/>
  <cols>
    <col min="2" max="2" width="25.42578125" bestFit="1" customWidth="1"/>
    <col min="3" max="3" width="16.28515625" bestFit="1" customWidth="1"/>
  </cols>
  <sheetData>
    <row r="1" spans="1:4">
      <c r="A1" s="1" t="s">
        <v>225</v>
      </c>
      <c r="B1" s="1" t="s">
        <v>226</v>
      </c>
      <c r="C1" s="1" t="s">
        <v>227</v>
      </c>
      <c r="D1" t="s">
        <v>258</v>
      </c>
    </row>
    <row r="2" spans="1:4">
      <c r="A2" s="1">
        <f>(SUM($B2:$B5)/$D2)</f>
        <v>30</v>
      </c>
      <c r="B2" s="1">
        <v>40</v>
      </c>
      <c r="C2" s="1">
        <v>1</v>
      </c>
      <c r="D2">
        <f>MAX(C2:C5)</f>
        <v>3</v>
      </c>
    </row>
    <row r="3" spans="1:4">
      <c r="A3" s="1"/>
      <c r="B3" s="1">
        <v>20</v>
      </c>
      <c r="C3" s="1">
        <v>2</v>
      </c>
    </row>
    <row r="4" spans="1:4">
      <c r="A4" s="1"/>
      <c r="B4" s="1">
        <v>30</v>
      </c>
      <c r="C4" s="1">
        <v>3</v>
      </c>
    </row>
    <row r="5" spans="1:4">
      <c r="A5" s="1"/>
      <c r="B5" s="1"/>
      <c r="C5" s="1"/>
    </row>
    <row r="6" spans="1:4">
      <c r="A6" s="38" t="s">
        <v>262</v>
      </c>
      <c r="B6" s="38"/>
      <c r="C6" s="38"/>
      <c r="D6" s="38"/>
    </row>
    <row r="7" spans="1:4">
      <c r="A7" s="38"/>
      <c r="B7" s="38"/>
      <c r="C7" s="38"/>
      <c r="D7" s="38"/>
    </row>
    <row r="8" spans="1:4">
      <c r="A8" s="38"/>
      <c r="B8" s="38"/>
      <c r="C8" s="38"/>
      <c r="D8" s="38"/>
    </row>
    <row r="9" spans="1:4">
      <c r="A9" s="38"/>
      <c r="B9" s="38"/>
      <c r="C9" s="38"/>
      <c r="D9" s="38"/>
    </row>
    <row r="10" spans="1:4">
      <c r="A10" s="38"/>
      <c r="B10" s="38"/>
      <c r="C10" s="38"/>
      <c r="D10" s="38"/>
    </row>
    <row r="11" spans="1:4">
      <c r="A11" s="20"/>
    </row>
  </sheetData>
  <mergeCells count="1">
    <mergeCell ref="A6: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7F75-29C8-4339-AB07-68779C8E6FD4}">
  <dimension ref="A1:E6"/>
  <sheetViews>
    <sheetView tabSelected="1" workbookViewId="0">
      <selection activeCell="B2" sqref="B2"/>
    </sheetView>
  </sheetViews>
  <sheetFormatPr baseColWidth="10" defaultRowHeight="15"/>
  <cols>
    <col min="1" max="1" width="22.7109375" bestFit="1" customWidth="1"/>
    <col min="2" max="2" width="45.140625" customWidth="1"/>
    <col min="3" max="3" width="23.140625" customWidth="1"/>
    <col min="4" max="4" width="22.85546875" customWidth="1"/>
    <col min="5" max="5" width="23.140625" customWidth="1"/>
  </cols>
  <sheetData>
    <row r="1" spans="1:5">
      <c r="A1" s="22" t="s">
        <v>228</v>
      </c>
      <c r="B1" s="21" t="s">
        <v>229</v>
      </c>
      <c r="C1" s="21" t="s">
        <v>230</v>
      </c>
      <c r="D1" s="21" t="s">
        <v>19</v>
      </c>
      <c r="E1" s="21" t="s">
        <v>231</v>
      </c>
    </row>
    <row r="2" spans="1:5" ht="60">
      <c r="A2" s="23" t="s">
        <v>232</v>
      </c>
      <c r="B2" s="19" t="s">
        <v>233</v>
      </c>
      <c r="C2" s="19" t="s">
        <v>234</v>
      </c>
      <c r="D2" s="19" t="s">
        <v>235</v>
      </c>
      <c r="E2" s="19" t="s">
        <v>236</v>
      </c>
    </row>
    <row r="3" spans="1:5" ht="45">
      <c r="A3" s="23" t="s">
        <v>237</v>
      </c>
      <c r="B3" s="19" t="s">
        <v>238</v>
      </c>
      <c r="C3" s="19" t="s">
        <v>239</v>
      </c>
      <c r="D3" s="19" t="s">
        <v>240</v>
      </c>
      <c r="E3" s="19" t="s">
        <v>241</v>
      </c>
    </row>
    <row r="4" spans="1:5" ht="60">
      <c r="A4" s="23" t="s">
        <v>242</v>
      </c>
      <c r="B4" s="19" t="s">
        <v>243</v>
      </c>
      <c r="C4" s="19" t="s">
        <v>244</v>
      </c>
      <c r="D4" s="19" t="s">
        <v>245</v>
      </c>
      <c r="E4" s="19" t="s">
        <v>246</v>
      </c>
    </row>
    <row r="5" spans="1:5" ht="45">
      <c r="A5" s="23" t="s">
        <v>247</v>
      </c>
      <c r="B5" s="19" t="s">
        <v>248</v>
      </c>
      <c r="C5" s="19" t="s">
        <v>249</v>
      </c>
      <c r="D5" s="19" t="s">
        <v>250</v>
      </c>
      <c r="E5" s="19" t="s">
        <v>251</v>
      </c>
    </row>
    <row r="6" spans="1:5" ht="60">
      <c r="A6" s="23" t="s">
        <v>252</v>
      </c>
      <c r="B6" s="19" t="s">
        <v>253</v>
      </c>
      <c r="C6" s="19" t="s">
        <v>254</v>
      </c>
      <c r="D6" s="19" t="s">
        <v>255</v>
      </c>
      <c r="E6" s="19"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RF</vt:lpstr>
      <vt:lpstr>RNF</vt:lpstr>
      <vt:lpstr>Reglas de Negocio</vt:lpstr>
      <vt:lpstr>Trazabilidad</vt:lpstr>
      <vt:lpstr>Calidad ISO 25010</vt:lpstr>
      <vt:lpstr>Matriz de Trazabilidad</vt:lpstr>
      <vt:lpstr>Metricas</vt:lpstr>
      <vt:lpstr>MTBF</vt:lpstr>
      <vt:lpstr>MTTR</vt:lpstr>
      <vt:lpstr>Aplicación ACS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Daniel Coronado Nova</dc:creator>
  <cp:lastModifiedBy>Jorge Daniel Coronado Nova</cp:lastModifiedBy>
  <dcterms:created xsi:type="dcterms:W3CDTF">2025-12-08T20:46:23Z</dcterms:created>
  <dcterms:modified xsi:type="dcterms:W3CDTF">2025-12-09T23:40:30Z</dcterms:modified>
</cp:coreProperties>
</file>
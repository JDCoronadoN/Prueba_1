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orge Coronado\OneDrive\Escritorio\Prueba_1\"/>
    </mc:Choice>
  </mc:AlternateContent>
  <xr:revisionPtr revIDLastSave="0" documentId="13_ncr:1_{E5AFE13F-F696-48BA-8DA8-FB289C20CB13}" xr6:coauthVersionLast="47" xr6:coauthVersionMax="47" xr10:uidLastSave="{00000000-0000-0000-0000-000000000000}"/>
  <bookViews>
    <workbookView xWindow="-120" yWindow="-120" windowWidth="20730" windowHeight="11040" xr2:uid="{00000000-000D-0000-FFFF-FFFF00000000}"/>
  </bookViews>
  <sheets>
    <sheet name="CASO DE USO" sheetId="10" r:id="rId1"/>
    <sheet name="RF" sheetId="1" r:id="rId2"/>
    <sheet name="RNF" sheetId="2" r:id="rId3"/>
    <sheet name="Reglas de Negocio" sheetId="3" r:id="rId4"/>
    <sheet name="Matriz de Trazabilidad" sheetId="6" r:id="rId5"/>
    <sheet name="Metricas" sheetId="7" r:id="rId6"/>
    <sheet name="MTBF" sheetId="8" r:id="rId7"/>
    <sheet name="MTTR" sheetId="9" r:id="rId8"/>
    <sheet name="Interpretaciones"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9" l="1"/>
  <c r="A2" i="9" s="1"/>
  <c r="A2" i="8"/>
  <c r="B2" i="7"/>
</calcChain>
</file>

<file path=xl/sharedStrings.xml><?xml version="1.0" encoding="utf-8"?>
<sst xmlns="http://schemas.openxmlformats.org/spreadsheetml/2006/main" count="173" uniqueCount="121">
  <si>
    <t>INSTRUCCIONES: Complete cada fila con la información del requisito funcional</t>
  </si>
  <si>
    <t>Número de requisito</t>
  </si>
  <si>
    <t>Nombre del requisito</t>
  </si>
  <si>
    <t>Descripción breve</t>
  </si>
  <si>
    <t>Tipo (Requisito/Restricción)</t>
  </si>
  <si>
    <t>Fuente del requisito</t>
  </si>
  <si>
    <t>Prioridad (Alta/Media/Baja)</t>
  </si>
  <si>
    <t>Criterio de aceptación</t>
  </si>
  <si>
    <t>Dependencias</t>
  </si>
  <si>
    <t>Estado</t>
  </si>
  <si>
    <t>INSTRUCCIONES: Registre requisitos no funcionales y métricas medibles.</t>
  </si>
  <si>
    <t>Categoría (Usabilidad/Rendimiento/etc.)</t>
  </si>
  <si>
    <t>Descripción</t>
  </si>
  <si>
    <t>Métrica</t>
  </si>
  <si>
    <t>Prioridad</t>
  </si>
  <si>
    <t>INSTRUCCIONES: Documente las reglas que condicionan decisiones del sistema.</t>
  </si>
  <si>
    <t>ID</t>
  </si>
  <si>
    <t>Regla</t>
  </si>
  <si>
    <t>Fuente</t>
  </si>
  <si>
    <t>Impacto</t>
  </si>
  <si>
    <t>INSTRUCCIONES: Relacione requisitos con pruebas, casos de uso y módulos.</t>
  </si>
  <si>
    <t>Requisito</t>
  </si>
  <si>
    <t>Caso de uso</t>
  </si>
  <si>
    <t>RF-01</t>
  </si>
  <si>
    <t>RF-02</t>
  </si>
  <si>
    <t>RF-03</t>
  </si>
  <si>
    <t>RF-04</t>
  </si>
  <si>
    <t>RF-05</t>
  </si>
  <si>
    <t>RF-06</t>
  </si>
  <si>
    <t>ALTA</t>
  </si>
  <si>
    <t>RNF-01</t>
  </si>
  <si>
    <t>RNF-02</t>
  </si>
  <si>
    <t>Dado que el usuario solicita una página o acción, la petición responde en menos de 3 segundos en condiciones normales de red.</t>
  </si>
  <si>
    <t>Confiabilidad</t>
  </si>
  <si>
    <t>Caso de Prueba</t>
  </si>
  <si>
    <t>Código</t>
  </si>
  <si>
    <t>Resultado</t>
  </si>
  <si>
    <t>Modulo</t>
  </si>
  <si>
    <t>Densidad de defectos</t>
  </si>
  <si>
    <t>Numero de defectos</t>
  </si>
  <si>
    <t>tamaño del modulo</t>
  </si>
  <si>
    <t>MTBF</t>
  </si>
  <si>
    <t>Tiempo total Operación</t>
  </si>
  <si>
    <t>Numero de falla</t>
  </si>
  <si>
    <t>MTTR</t>
  </si>
  <si>
    <t>Numero de fallas</t>
  </si>
  <si>
    <t>Mayor</t>
  </si>
  <si>
    <t>REGISTRO PACIENTE</t>
  </si>
  <si>
    <t>El sistema deberá permitir registrar pacientes con nombre, CI y teléfono</t>
  </si>
  <si>
    <t>El sistema deberá permitir agendar una cita seleccionando médico, fecha y motivo.</t>
  </si>
  <si>
    <t>El sistema deberá enviar una notificación al médico cuando se registre una nueva cita.</t>
  </si>
  <si>
    <t>El sistema deberá permitir que los médicos consulten su agenda diaria.</t>
  </si>
  <si>
    <t>El sistema deberá generar un reporte semanal de atenciones en PDF.</t>
  </si>
  <si>
    <t>El sistema deberá mostrar alertas cuando un médico tenga más de 10 citas en el día.</t>
  </si>
  <si>
    <t>NOTIFICACIÓN</t>
  </si>
  <si>
    <t>GENERAR REPORTE SEMANAL</t>
  </si>
  <si>
    <t>ALERTAS</t>
  </si>
  <si>
    <t>Eficiencia</t>
  </si>
  <si>
    <t>El sistema deberá cargar cualquier pantalla en menos de 3 segundos.</t>
  </si>
  <si>
    <t>El sistema deberá mantener un uptime del 99% mensual.</t>
  </si>
  <si>
    <t>REQUISITO</t>
  </si>
  <si>
    <t>MEDIA</t>
  </si>
  <si>
    <t>CASO</t>
  </si>
  <si>
    <t>DESCRIPCIÓN</t>
  </si>
  <si>
    <t>ACTORES</t>
  </si>
  <si>
    <t>CU-01</t>
  </si>
  <si>
    <t>CU-02</t>
  </si>
  <si>
    <t>CU-03</t>
  </si>
  <si>
    <t>CU-04</t>
  </si>
  <si>
    <t>CU-05</t>
  </si>
  <si>
    <t>CU-06</t>
  </si>
  <si>
    <t>RECEPCIONISTA</t>
  </si>
  <si>
    <t>MÉDICO</t>
  </si>
  <si>
    <t>SISTEMA</t>
  </si>
  <si>
    <t>AGENDAMIENTO DE CITA</t>
  </si>
  <si>
    <t>NOMBRE</t>
  </si>
  <si>
    <t>CONSULTAR LA AGENDA</t>
  </si>
  <si>
    <t>GENERAR REPORTE</t>
  </si>
  <si>
    <t>PENDIENTE</t>
  </si>
  <si>
    <t>Cuando el sistema realice un nuevo registro en la agenda del doctor, este deberá mostrar una notificación para indicar la nueva cita</t>
  </si>
  <si>
    <t>Dado el caso en que un paciente sea nuevo ingresando deberá registrarse con CI y Télefono</t>
  </si>
  <si>
    <t>Dado el caso donde un paciente quiera agendar una cita deberá seleccionar una fecha, doctor y motivo de la consulta.</t>
  </si>
  <si>
    <t>El sistema debe generar reporte semanales de atenciones en formato PDF.</t>
  </si>
  <si>
    <t>Dado el caso en el que un doctor tenga más de 10 citas en un día, se deberá mostrar una alerta.</t>
  </si>
  <si>
    <t>Dado el caso en que un doctor quiera consultar su agenda del día, tendrá la opción de visualizar las citas registradas</t>
  </si>
  <si>
    <t>TIEMPO DE CARGA&lt;3sg</t>
  </si>
  <si>
    <t>99% de disponibilidad mensual</t>
  </si>
  <si>
    <t>Dado que el horario del area salud es 24/7 durante todo el mes, cuando los usuarios intentan acceder al sistema, entonces está disponible al menos el 99% del tiempo.</t>
  </si>
  <si>
    <t>NOTIFICAR CITA</t>
  </si>
  <si>
    <t>CONSULTAR AGENDA</t>
  </si>
  <si>
    <t>MOSTRAR ALERTAS</t>
  </si>
  <si>
    <t>AGENDAR CITA</t>
  </si>
  <si>
    <t>REGISTRAR PACIENTE</t>
  </si>
  <si>
    <t>CU-03 NOTIFICAR CITA</t>
  </si>
  <si>
    <t>CU-01 REGISTRAR PACIENTE</t>
  </si>
  <si>
    <t>CP-01 NOTIFICACIÓN DE REGISTRO EXITOSO</t>
  </si>
  <si>
    <t>Cumple</t>
  </si>
  <si>
    <t>alert.registerPatient()</t>
  </si>
  <si>
    <t>Depende de la base de datos activa</t>
  </si>
  <si>
    <t>PROPUESTA</t>
  </si>
  <si>
    <t>CU-02 AGENDAR CITA</t>
  </si>
  <si>
    <t>CP-02 NOTIFICACIÓN DE REGISTRO EXITOSO</t>
  </si>
  <si>
    <t>CP-03 ENVIAR CORREO</t>
  </si>
  <si>
    <t>alert.registerDate()</t>
  </si>
  <si>
    <t>notify.Doctor()</t>
  </si>
  <si>
    <t>CU-04 CONSULTAR AGENDA</t>
  </si>
  <si>
    <t>CP-04 CONSULTAR BASE DE DATOS</t>
  </si>
  <si>
    <t>consulta.Agenda()</t>
  </si>
  <si>
    <t>CU-05 GENERAR REPORTE</t>
  </si>
  <si>
    <t>CP-05 VERIFICAR REPORTE</t>
  </si>
  <si>
    <t>generar.Reporte()</t>
  </si>
  <si>
    <t>Agenda Médica</t>
  </si>
  <si>
    <t>Tiempo Total de reparación en minutos</t>
  </si>
  <si>
    <t>¿El módulo es confiable?</t>
  </si>
  <si>
    <t>El MTBF no indica que solamente llega a funcionar 40 horas promedio de las 120 que estuvo funcionando, lo que nos da un rendimiento bastante bajo para un sistema que esta pensado para el sector salud, lo cual nos indica que debemos mejorar su confiabilidad.</t>
  </si>
  <si>
    <t>¿El tiempo de reparación es adecuado?</t>
  </si>
  <si>
    <t>Sí, un MTTR de 27 minutos es razonable para lo que vendría a ser un sistema enfocado en la salud</t>
  </si>
  <si>
    <t>¿Se deben asignar recursos extra de mantenimiento?</t>
  </si>
  <si>
    <t>Sí, debería asignarsele más recursos para la mejora porque debido a la densidad de fallos y el MTBF, es necesario invertir en mejora de desarrollo e infrestructura para mantener estable el servicio</t>
  </si>
  <si>
    <t>CP-07 VERIFICAR TIEMPO DE CARGA</t>
  </si>
  <si>
    <t>verificar.tiempo()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</si>
</sst>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amily val="2"/>
    </font>
    <font>
      <b/>
      <sz val="11"/>
      <color rgb="FFFFFFFF"/>
      <name val="Calibri"/>
      <family val="2"/>
    </font>
    <font>
      <sz val="11"/>
      <color rgb="FFFFFFFF"/>
      <name val="Calibri"/>
      <family val="2"/>
    </font>
    <font>
      <sz val="11"/>
      <color rgb="FF0F1115"/>
      <name val="Segoe UI"/>
      <family val="2"/>
    </font>
    <font>
      <sz val="11"/>
      <color theme="1"/>
      <name val="Arial"/>
      <family val="2"/>
    </font>
    <font>
      <sz val="11"/>
      <color rgb="FF0F1115"/>
      <name val="Arial"/>
      <family val="2"/>
    </font>
    <font>
      <sz val="10"/>
      <color rgb="FF0F1115"/>
      <name val="Arial"/>
      <family val="2"/>
    </font>
    <font>
      <sz val="10"/>
      <color rgb="FF0F1115"/>
      <name val="Monaco"/>
      <family val="3"/>
    </font>
    <font>
      <sz val="11"/>
      <color theme="1"/>
      <name val="Calibri"/>
      <family val="2"/>
      <scheme val="minor"/>
    </font>
    <font>
      <sz val="8"/>
      <name val="Calibri"/>
      <family val="2"/>
      <scheme val="minor"/>
    </font>
  </fonts>
  <fills count="7">
    <fill>
      <patternFill patternType="none"/>
    </fill>
    <fill>
      <patternFill patternType="gray125"/>
    </fill>
    <fill>
      <patternFill patternType="solid">
        <fgColor rgb="FFDDD9C4"/>
      </patternFill>
    </fill>
    <fill>
      <patternFill patternType="solid">
        <fgColor rgb="FF4F81BD"/>
      </patternFill>
    </fill>
    <fill>
      <patternFill patternType="solid">
        <fgColor rgb="FFFFFFFF"/>
        <bgColor indexed="64"/>
      </patternFill>
    </fill>
    <fill>
      <patternFill patternType="solid">
        <fgColor theme="4" tint="0.39997558519241921"/>
        <bgColor indexed="65"/>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5" borderId="0" applyNumberFormat="0" applyBorder="0" applyAlignment="0" applyProtection="0"/>
  </cellStyleXfs>
  <cellXfs count="34">
    <xf numFmtId="0" fontId="0" fillId="0" borderId="0" xfId="0"/>
    <xf numFmtId="0" fontId="0" fillId="0" borderId="0" xfId="0"/>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3" fillId="3" borderId="0" xfId="0" applyFont="1" applyFill="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0" fillId="0" borderId="0" xfId="0" applyAlignment="1">
      <alignment horizontal="center" vertical="center" wrapText="1"/>
    </xf>
    <xf numFmtId="0" fontId="0" fillId="6" borderId="0" xfId="0" applyFill="1"/>
    <xf numFmtId="0" fontId="9" fillId="5" borderId="1" xfId="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8" fillId="4" borderId="1" xfId="0" applyFont="1" applyFill="1" applyBorder="1" applyAlignment="1">
      <alignment horizontal="center" vertical="center"/>
    </xf>
    <xf numFmtId="0" fontId="0" fillId="0" borderId="0" xfId="0" applyFill="1"/>
    <xf numFmtId="0" fontId="1" fillId="2" borderId="0" xfId="0" applyFont="1" applyFill="1" applyAlignment="1">
      <alignment horizontal="center" vertical="center" wrapText="1"/>
    </xf>
    <xf numFmtId="0" fontId="0" fillId="0" borderId="0" xfId="0" applyAlignment="1">
      <alignment horizontal="center" vertical="center" wrapText="1"/>
    </xf>
    <xf numFmtId="0" fontId="1" fillId="2" borderId="0" xfId="0" applyFont="1" applyFill="1" applyAlignment="1"/>
    <xf numFmtId="0" fontId="0" fillId="0" borderId="0" xfId="0" applyAlignment="1"/>
    <xf numFmtId="0" fontId="1" fillId="2" borderId="0" xfId="0" applyFont="1" applyFill="1" applyAlignment="1">
      <alignment horizontal="center"/>
    </xf>
    <xf numFmtId="0" fontId="0" fillId="0" borderId="0" xfId="0" applyAlignment="1">
      <alignment vertical="center" wrapText="1"/>
    </xf>
    <xf numFmtId="0" fontId="0" fillId="0" borderId="0" xfId="0" applyAlignment="1">
      <alignment horizontal="center" vertical="center"/>
    </xf>
    <xf numFmtId="0" fontId="0" fillId="6" borderId="0" xfId="0" applyFill="1" applyAlignment="1">
      <alignment horizontal="center" vertical="center"/>
    </xf>
    <xf numFmtId="0" fontId="0" fillId="0" borderId="0" xfId="0" applyFill="1" applyAlignment="1">
      <alignment horizontal="center" vertical="center"/>
    </xf>
    <xf numFmtId="0" fontId="0" fillId="0" borderId="0" xfId="0" applyFill="1" applyAlignment="1">
      <alignment wrapText="1"/>
    </xf>
    <xf numFmtId="0" fontId="0" fillId="6" borderId="0" xfId="0" applyFill="1" applyAlignment="1">
      <alignment horizontal="center" vertical="center"/>
    </xf>
    <xf numFmtId="0" fontId="9" fillId="5" borderId="0" xfId="1" applyAlignment="1">
      <alignment horizontal="center" vertical="center"/>
    </xf>
    <xf numFmtId="0" fontId="9" fillId="5" borderId="0" xfId="1" applyAlignment="1">
      <alignment horizontal="center" vertical="center" wrapText="1"/>
    </xf>
    <xf numFmtId="0" fontId="9" fillId="5" borderId="0" xfId="1"/>
  </cellXfs>
  <cellStyles count="2">
    <cellStyle name="60% - Énfasis1" xfId="1" builtinId="3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1B05-EB4E-42A1-8CA9-4788AAB4403E}">
  <dimension ref="A1:D7"/>
  <sheetViews>
    <sheetView tabSelected="1" workbookViewId="0">
      <selection activeCell="B4" sqref="B4"/>
    </sheetView>
  </sheetViews>
  <sheetFormatPr baseColWidth="10" defaultRowHeight="15"/>
  <cols>
    <col min="2" max="2" width="15.7109375" style="1" bestFit="1" customWidth="1"/>
    <col min="3" max="3" width="36.28515625" customWidth="1"/>
    <col min="4" max="4" width="14.85546875" bestFit="1" customWidth="1"/>
  </cols>
  <sheetData>
    <row r="1" spans="1:4">
      <c r="A1" s="15" t="s">
        <v>62</v>
      </c>
      <c r="B1" s="15" t="s">
        <v>75</v>
      </c>
      <c r="C1" s="15" t="s">
        <v>63</v>
      </c>
      <c r="D1" s="15" t="s">
        <v>64</v>
      </c>
    </row>
    <row r="2" spans="1:4" ht="30">
      <c r="A2" s="16" t="s">
        <v>65</v>
      </c>
      <c r="B2" s="17" t="s">
        <v>92</v>
      </c>
      <c r="C2" s="7" t="s">
        <v>48</v>
      </c>
      <c r="D2" s="16" t="s">
        <v>71</v>
      </c>
    </row>
    <row r="3" spans="1:4" ht="45">
      <c r="A3" s="16" t="s">
        <v>66</v>
      </c>
      <c r="B3" s="16" t="s">
        <v>91</v>
      </c>
      <c r="C3" s="17" t="s">
        <v>49</v>
      </c>
      <c r="D3" s="16" t="s">
        <v>71</v>
      </c>
    </row>
    <row r="4" spans="1:4" ht="45">
      <c r="A4" s="16" t="s">
        <v>67</v>
      </c>
      <c r="B4" s="16" t="s">
        <v>88</v>
      </c>
      <c r="C4" s="17" t="s">
        <v>50</v>
      </c>
      <c r="D4" s="16" t="s">
        <v>72</v>
      </c>
    </row>
    <row r="5" spans="1:4" ht="30">
      <c r="A5" s="16" t="s">
        <v>68</v>
      </c>
      <c r="B5" s="17" t="s">
        <v>89</v>
      </c>
      <c r="C5" s="8" t="s">
        <v>51</v>
      </c>
      <c r="D5" s="16" t="s">
        <v>72</v>
      </c>
    </row>
    <row r="6" spans="1:4" ht="30">
      <c r="A6" s="16" t="s">
        <v>69</v>
      </c>
      <c r="B6" s="17" t="s">
        <v>77</v>
      </c>
      <c r="C6" s="8" t="s">
        <v>52</v>
      </c>
      <c r="D6" s="16" t="s">
        <v>73</v>
      </c>
    </row>
    <row r="7" spans="1:4" ht="42.75">
      <c r="A7" s="16" t="s">
        <v>70</v>
      </c>
      <c r="B7" s="17" t="s">
        <v>90</v>
      </c>
      <c r="C7" s="8" t="s">
        <v>53</v>
      </c>
      <c r="D7" s="16" t="s">
        <v>72</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opLeftCell="A5" workbookViewId="0">
      <selection activeCell="H5" sqref="H5"/>
    </sheetView>
  </sheetViews>
  <sheetFormatPr baseColWidth="10" defaultRowHeight="15"/>
  <cols>
    <col min="2" max="2" width="34.140625" bestFit="1" customWidth="1"/>
    <col min="3" max="3" width="22.28515625" customWidth="1"/>
    <col min="4" max="4" width="12.42578125" bestFit="1" customWidth="1"/>
    <col min="7" max="7" width="22.85546875" customWidth="1"/>
    <col min="9" max="9" width="14" bestFit="1" customWidth="1"/>
  </cols>
  <sheetData>
    <row r="1" spans="1:9">
      <c r="A1" s="20" t="s">
        <v>0</v>
      </c>
      <c r="B1" s="21"/>
      <c r="C1" s="21"/>
      <c r="D1" s="21"/>
      <c r="E1" s="21"/>
      <c r="F1" s="21"/>
      <c r="G1" s="21"/>
      <c r="H1" s="21"/>
      <c r="I1" s="21"/>
    </row>
    <row r="2" spans="1:9" ht="45">
      <c r="A2" s="2" t="s">
        <v>1</v>
      </c>
      <c r="B2" s="2" t="s">
        <v>2</v>
      </c>
      <c r="C2" s="2" t="s">
        <v>3</v>
      </c>
      <c r="D2" s="2" t="s">
        <v>4</v>
      </c>
      <c r="E2" s="2" t="s">
        <v>5</v>
      </c>
      <c r="F2" s="2" t="s">
        <v>6</v>
      </c>
      <c r="G2" s="4" t="s">
        <v>7</v>
      </c>
      <c r="H2" s="2" t="s">
        <v>8</v>
      </c>
      <c r="I2" s="2" t="s">
        <v>9</v>
      </c>
    </row>
    <row r="3" spans="1:9" ht="63.75">
      <c r="A3" s="5" t="s">
        <v>23</v>
      </c>
      <c r="B3" s="6" t="s">
        <v>47</v>
      </c>
      <c r="C3" s="7" t="s">
        <v>48</v>
      </c>
      <c r="D3" s="6" t="s">
        <v>60</v>
      </c>
      <c r="E3" s="5" t="s">
        <v>65</v>
      </c>
      <c r="F3" s="5" t="s">
        <v>29</v>
      </c>
      <c r="G3" s="12" t="s">
        <v>80</v>
      </c>
      <c r="H3" s="8" t="s">
        <v>98</v>
      </c>
      <c r="I3" s="11" t="s">
        <v>99</v>
      </c>
    </row>
    <row r="4" spans="1:9" ht="76.5">
      <c r="A4" s="5" t="s">
        <v>24</v>
      </c>
      <c r="B4" s="6" t="s">
        <v>74</v>
      </c>
      <c r="C4" s="17" t="s">
        <v>49</v>
      </c>
      <c r="D4" s="8" t="s">
        <v>60</v>
      </c>
      <c r="E4" s="8" t="s">
        <v>66</v>
      </c>
      <c r="F4" s="8" t="s">
        <v>29</v>
      </c>
      <c r="G4" s="12" t="s">
        <v>81</v>
      </c>
      <c r="H4" s="8" t="s">
        <v>26</v>
      </c>
      <c r="I4" s="11" t="s">
        <v>78</v>
      </c>
    </row>
    <row r="5" spans="1:9" ht="76.5">
      <c r="A5" s="5" t="s">
        <v>25</v>
      </c>
      <c r="B5" s="6" t="s">
        <v>54</v>
      </c>
      <c r="C5" s="17" t="s">
        <v>50</v>
      </c>
      <c r="D5" s="8" t="s">
        <v>60</v>
      </c>
      <c r="E5" s="8" t="s">
        <v>67</v>
      </c>
      <c r="F5" s="8" t="s">
        <v>61</v>
      </c>
      <c r="G5" s="12" t="s">
        <v>79</v>
      </c>
      <c r="H5" s="8" t="s">
        <v>24</v>
      </c>
      <c r="I5" s="11" t="s">
        <v>78</v>
      </c>
    </row>
    <row r="6" spans="1:9" ht="63.75">
      <c r="A6" s="5" t="s">
        <v>26</v>
      </c>
      <c r="B6" s="6" t="s">
        <v>76</v>
      </c>
      <c r="C6" s="8" t="s">
        <v>51</v>
      </c>
      <c r="D6" s="8" t="s">
        <v>60</v>
      </c>
      <c r="E6" s="8" t="s">
        <v>68</v>
      </c>
      <c r="F6" s="8" t="s">
        <v>61</v>
      </c>
      <c r="G6" s="12" t="s">
        <v>84</v>
      </c>
      <c r="H6" s="8" t="s">
        <v>98</v>
      </c>
      <c r="I6" s="11" t="s">
        <v>78</v>
      </c>
    </row>
    <row r="7" spans="1:9" ht="57">
      <c r="A7" s="5" t="s">
        <v>27</v>
      </c>
      <c r="B7" s="6" t="s">
        <v>55</v>
      </c>
      <c r="C7" s="8" t="s">
        <v>52</v>
      </c>
      <c r="D7" s="8" t="s">
        <v>60</v>
      </c>
      <c r="E7" s="8" t="s">
        <v>69</v>
      </c>
      <c r="F7" s="8" t="s">
        <v>29</v>
      </c>
      <c r="G7" s="12" t="s">
        <v>82</v>
      </c>
      <c r="H7" s="8" t="s">
        <v>98</v>
      </c>
      <c r="I7" s="11" t="s">
        <v>78</v>
      </c>
    </row>
    <row r="8" spans="1:9" ht="71.25">
      <c r="A8" s="5" t="s">
        <v>28</v>
      </c>
      <c r="B8" s="6" t="s">
        <v>56</v>
      </c>
      <c r="C8" s="8" t="s">
        <v>53</v>
      </c>
      <c r="D8" s="8" t="s">
        <v>60</v>
      </c>
      <c r="E8" s="8" t="s">
        <v>70</v>
      </c>
      <c r="F8" s="8" t="s">
        <v>29</v>
      </c>
      <c r="G8" s="12" t="s">
        <v>83</v>
      </c>
      <c r="H8" s="8" t="s">
        <v>26</v>
      </c>
      <c r="I8" s="11" t="s">
        <v>78</v>
      </c>
    </row>
    <row r="9" spans="1:9">
      <c r="A9" s="5"/>
      <c r="B9" s="6"/>
      <c r="C9" s="8"/>
      <c r="D9" s="8"/>
      <c r="E9" s="8"/>
      <c r="F9" s="8"/>
      <c r="G9" s="12"/>
      <c r="H9" s="8"/>
      <c r="I9" s="11"/>
    </row>
    <row r="10" spans="1:9">
      <c r="A10" s="5"/>
      <c r="B10" s="6"/>
      <c r="C10" s="8"/>
      <c r="D10" s="8"/>
      <c r="E10" s="8"/>
      <c r="F10" s="8"/>
      <c r="G10" s="12"/>
      <c r="H10" s="8"/>
      <c r="I10" s="11"/>
    </row>
    <row r="11" spans="1:9">
      <c r="A11" s="5"/>
      <c r="B11" s="6"/>
      <c r="C11" s="8"/>
      <c r="D11" s="8"/>
      <c r="E11" s="8"/>
      <c r="F11" s="8"/>
      <c r="G11" s="12"/>
      <c r="H11" s="8"/>
      <c r="I11" s="11"/>
    </row>
  </sheetData>
  <mergeCells count="1">
    <mergeCell ref="A1:I1"/>
  </mergeCells>
  <phoneticPr fontId="10"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selection activeCell="G3" sqref="G3"/>
    </sheetView>
  </sheetViews>
  <sheetFormatPr baseColWidth="10" defaultRowHeight="15"/>
  <cols>
    <col min="2" max="2" width="22.7109375" customWidth="1"/>
    <col min="3" max="3" width="22.85546875" customWidth="1"/>
    <col min="4" max="4" width="23" customWidth="1"/>
    <col min="6" max="6" width="23" customWidth="1"/>
    <col min="7" max="7" width="12.85546875" bestFit="1" customWidth="1"/>
  </cols>
  <sheetData>
    <row r="1" spans="1:7">
      <c r="A1" s="20" t="s">
        <v>10</v>
      </c>
      <c r="B1" s="21"/>
      <c r="C1" s="21"/>
      <c r="D1" s="21"/>
      <c r="E1" s="21"/>
      <c r="F1" s="21"/>
      <c r="G1" s="21"/>
    </row>
    <row r="2" spans="1:7" ht="45">
      <c r="A2" s="2" t="s">
        <v>1</v>
      </c>
      <c r="B2" s="2" t="s">
        <v>11</v>
      </c>
      <c r="C2" s="2" t="s">
        <v>12</v>
      </c>
      <c r="D2" s="2" t="s">
        <v>13</v>
      </c>
      <c r="E2" s="2" t="s">
        <v>14</v>
      </c>
      <c r="F2" s="2" t="s">
        <v>7</v>
      </c>
      <c r="G2" s="2" t="s">
        <v>9</v>
      </c>
    </row>
    <row r="3" spans="1:7" ht="76.5">
      <c r="A3" s="8" t="s">
        <v>30</v>
      </c>
      <c r="B3" s="8" t="s">
        <v>57</v>
      </c>
      <c r="C3" s="8" t="s">
        <v>58</v>
      </c>
      <c r="D3" s="7" t="s">
        <v>85</v>
      </c>
      <c r="E3" s="8" t="s">
        <v>29</v>
      </c>
      <c r="F3" s="12" t="s">
        <v>32</v>
      </c>
      <c r="G3" s="11" t="s">
        <v>78</v>
      </c>
    </row>
    <row r="4" spans="1:7" ht="102">
      <c r="A4" s="8" t="s">
        <v>31</v>
      </c>
      <c r="B4" s="8" t="s">
        <v>33</v>
      </c>
      <c r="C4" s="8" t="s">
        <v>59</v>
      </c>
      <c r="D4" s="8" t="s">
        <v>86</v>
      </c>
      <c r="E4" s="8" t="s">
        <v>29</v>
      </c>
      <c r="F4" s="12" t="s">
        <v>87</v>
      </c>
      <c r="G4" s="11" t="s">
        <v>78</v>
      </c>
    </row>
    <row r="5" spans="1:7">
      <c r="A5" s="8"/>
      <c r="B5" s="8"/>
      <c r="C5" s="8"/>
      <c r="D5" s="8"/>
      <c r="E5" s="8"/>
      <c r="F5" s="10"/>
      <c r="G5" s="11"/>
    </row>
    <row r="6" spans="1:7">
      <c r="A6" s="8"/>
      <c r="B6" s="8"/>
      <c r="C6" s="8"/>
      <c r="D6" s="8"/>
      <c r="E6" s="8"/>
      <c r="F6" s="10"/>
      <c r="G6" s="11"/>
    </row>
    <row r="7" spans="1:7">
      <c r="A7" s="8"/>
      <c r="B7" s="8"/>
      <c r="C7" s="8"/>
      <c r="D7" s="8"/>
      <c r="E7" s="8"/>
      <c r="F7" s="10"/>
      <c r="G7" s="11"/>
    </row>
  </sheetData>
  <mergeCells count="1">
    <mergeCell ref="A1:G1"/>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A3" sqref="A3:D9"/>
    </sheetView>
  </sheetViews>
  <sheetFormatPr baseColWidth="10" defaultRowHeight="15"/>
  <cols>
    <col min="2" max="2" width="32.42578125" customWidth="1"/>
    <col min="4" max="4" width="22.5703125" bestFit="1" customWidth="1"/>
  </cols>
  <sheetData>
    <row r="1" spans="1:4">
      <c r="A1" s="22" t="s">
        <v>15</v>
      </c>
      <c r="B1" s="23"/>
      <c r="C1" s="23"/>
      <c r="D1" s="23"/>
    </row>
    <row r="2" spans="1:4">
      <c r="A2" s="3" t="s">
        <v>16</v>
      </c>
      <c r="B2" s="3" t="s">
        <v>17</v>
      </c>
      <c r="C2" s="3" t="s">
        <v>18</v>
      </c>
      <c r="D2" s="3" t="s">
        <v>19</v>
      </c>
    </row>
    <row r="3" spans="1:4">
      <c r="A3" s="8"/>
      <c r="B3" s="10"/>
      <c r="C3" s="8"/>
      <c r="D3" s="11"/>
    </row>
    <row r="4" spans="1:4">
      <c r="A4" s="8"/>
      <c r="B4" s="10"/>
      <c r="C4" s="8"/>
      <c r="D4" s="11"/>
    </row>
    <row r="5" spans="1:4">
      <c r="A5" s="8"/>
      <c r="B5" s="10"/>
      <c r="C5" s="8"/>
      <c r="D5" s="11"/>
    </row>
    <row r="6" spans="1:4">
      <c r="A6" s="8"/>
      <c r="B6" s="10"/>
      <c r="C6" s="8"/>
      <c r="D6" s="11"/>
    </row>
    <row r="7" spans="1:4">
      <c r="A7" s="8"/>
      <c r="B7" s="10"/>
      <c r="C7" s="8"/>
      <c r="D7" s="11"/>
    </row>
    <row r="8" spans="1:4">
      <c r="A8" s="8"/>
      <c r="B8" s="10"/>
      <c r="C8" s="8"/>
      <c r="D8" s="11"/>
    </row>
    <row r="9" spans="1:4">
      <c r="A9" s="8"/>
      <c r="B9" s="10"/>
      <c r="C9" s="8"/>
      <c r="D9" s="11"/>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election activeCell="C8" sqref="C8"/>
    </sheetView>
  </sheetViews>
  <sheetFormatPr baseColWidth="10" defaultRowHeight="15"/>
  <cols>
    <col min="2" max="2" width="25.85546875" customWidth="1"/>
    <col min="3" max="3" width="28.28515625" bestFit="1" customWidth="1"/>
    <col min="4" max="4" width="27.7109375" bestFit="1" customWidth="1"/>
    <col min="5" max="5" width="10.42578125" bestFit="1" customWidth="1"/>
  </cols>
  <sheetData>
    <row r="1" spans="1:5">
      <c r="A1" s="24" t="s">
        <v>20</v>
      </c>
      <c r="B1" s="24"/>
      <c r="C1" s="24"/>
      <c r="D1" s="24"/>
      <c r="E1" s="24"/>
    </row>
    <row r="2" spans="1:5">
      <c r="A2" s="3" t="s">
        <v>21</v>
      </c>
      <c r="B2" s="3" t="s">
        <v>22</v>
      </c>
      <c r="C2" s="3" t="s">
        <v>34</v>
      </c>
      <c r="D2" s="3" t="s">
        <v>35</v>
      </c>
      <c r="E2" s="3" t="s">
        <v>36</v>
      </c>
    </row>
    <row r="3" spans="1:5" ht="33">
      <c r="A3" s="9" t="s">
        <v>23</v>
      </c>
      <c r="B3" s="9" t="s">
        <v>94</v>
      </c>
      <c r="C3" s="9" t="s">
        <v>95</v>
      </c>
      <c r="D3" s="18" t="s">
        <v>97</v>
      </c>
      <c r="E3" s="9" t="s">
        <v>96</v>
      </c>
    </row>
    <row r="4" spans="1:5" ht="33">
      <c r="A4" s="9" t="s">
        <v>24</v>
      </c>
      <c r="B4" s="9" t="s">
        <v>100</v>
      </c>
      <c r="C4" s="9" t="s">
        <v>101</v>
      </c>
      <c r="D4" s="18" t="s">
        <v>103</v>
      </c>
      <c r="E4" s="9" t="s">
        <v>96</v>
      </c>
    </row>
    <row r="5" spans="1:5" ht="16.5">
      <c r="A5" s="9" t="s">
        <v>25</v>
      </c>
      <c r="B5" s="9" t="s">
        <v>93</v>
      </c>
      <c r="C5" s="9" t="s">
        <v>102</v>
      </c>
      <c r="D5" s="18" t="s">
        <v>104</v>
      </c>
      <c r="E5" s="9" t="s">
        <v>96</v>
      </c>
    </row>
    <row r="6" spans="1:5" ht="33">
      <c r="A6" s="9" t="s">
        <v>26</v>
      </c>
      <c r="B6" s="9" t="s">
        <v>105</v>
      </c>
      <c r="C6" s="9" t="s">
        <v>106</v>
      </c>
      <c r="D6" s="18" t="s">
        <v>107</v>
      </c>
      <c r="E6" s="9" t="s">
        <v>96</v>
      </c>
    </row>
    <row r="7" spans="1:5" ht="33">
      <c r="A7" s="9" t="s">
        <v>27</v>
      </c>
      <c r="B7" s="9" t="s">
        <v>108</v>
      </c>
      <c r="C7" s="9" t="s">
        <v>109</v>
      </c>
      <c r="D7" s="18" t="s">
        <v>110</v>
      </c>
      <c r="E7" s="9" t="s">
        <v>96</v>
      </c>
    </row>
    <row r="8" spans="1:5" ht="33">
      <c r="A8" s="9" t="s">
        <v>30</v>
      </c>
      <c r="B8" s="9" t="s">
        <v>105</v>
      </c>
      <c r="C8" s="9" t="s">
        <v>119</v>
      </c>
      <c r="D8" s="18" t="s">
        <v>120</v>
      </c>
      <c r="E8" s="9" t="s">
        <v>96</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583D-6BA7-4FBB-9D6A-53BF2B574A9B}">
  <dimension ref="A1:D13"/>
  <sheetViews>
    <sheetView workbookViewId="0">
      <selection activeCell="D5" sqref="D5"/>
    </sheetView>
  </sheetViews>
  <sheetFormatPr baseColWidth="10" defaultRowHeight="15"/>
  <cols>
    <col min="1" max="1" width="14.5703125" bestFit="1" customWidth="1"/>
    <col min="2" max="2" width="20.28515625" bestFit="1" customWidth="1"/>
    <col min="3" max="3" width="19.28515625" bestFit="1" customWidth="1"/>
    <col min="4" max="4" width="18.42578125" bestFit="1" customWidth="1"/>
  </cols>
  <sheetData>
    <row r="1" spans="1:4">
      <c r="A1" s="33" t="s">
        <v>37</v>
      </c>
      <c r="B1" s="33" t="s">
        <v>38</v>
      </c>
      <c r="C1" s="33" t="s">
        <v>39</v>
      </c>
      <c r="D1" s="33" t="s">
        <v>40</v>
      </c>
    </row>
    <row r="2" spans="1:4">
      <c r="A2" s="14" t="s">
        <v>111</v>
      </c>
      <c r="B2" s="1">
        <f>$C2/$D2</f>
        <v>7.4999999999999997E-3</v>
      </c>
      <c r="C2" s="1">
        <v>9</v>
      </c>
      <c r="D2" s="1">
        <v>1200</v>
      </c>
    </row>
    <row r="3" spans="1:4">
      <c r="A3" s="19"/>
      <c r="B3" s="1"/>
      <c r="C3" s="1"/>
      <c r="D3" s="1"/>
    </row>
    <row r="9" spans="1:4">
      <c r="A9" s="19"/>
      <c r="B9" s="19"/>
      <c r="C9" s="19"/>
      <c r="D9" s="19"/>
    </row>
    <row r="10" spans="1:4">
      <c r="A10" s="29"/>
      <c r="B10" s="29"/>
      <c r="C10" s="29"/>
      <c r="D10" s="29"/>
    </row>
    <row r="11" spans="1:4">
      <c r="A11" s="29"/>
      <c r="B11" s="29"/>
      <c r="C11" s="29"/>
      <c r="D11" s="29"/>
    </row>
    <row r="12" spans="1:4">
      <c r="A12" s="29"/>
      <c r="B12" s="29"/>
      <c r="C12" s="29"/>
      <c r="D12" s="29"/>
    </row>
    <row r="13" spans="1:4">
      <c r="A13" s="29"/>
      <c r="B13" s="29"/>
      <c r="C13" s="29"/>
      <c r="D13" s="2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0D40-6EBF-4432-A06F-7B57EC71C6FC}">
  <dimension ref="A1:C10"/>
  <sheetViews>
    <sheetView workbookViewId="0">
      <selection sqref="A1:C1"/>
    </sheetView>
  </sheetViews>
  <sheetFormatPr baseColWidth="10" defaultRowHeight="15"/>
  <cols>
    <col min="1" max="1" width="13.7109375" bestFit="1" customWidth="1"/>
    <col min="2" max="2" width="22.140625" bestFit="1" customWidth="1"/>
    <col min="3" max="3" width="15.28515625" bestFit="1" customWidth="1"/>
  </cols>
  <sheetData>
    <row r="1" spans="1:3">
      <c r="A1" s="33" t="s">
        <v>41</v>
      </c>
      <c r="B1" s="33" t="s">
        <v>42</v>
      </c>
      <c r="C1" s="33" t="s">
        <v>43</v>
      </c>
    </row>
    <row r="2" spans="1:3">
      <c r="A2" s="1">
        <f>$B2/$C2</f>
        <v>40</v>
      </c>
      <c r="B2" s="1">
        <v>120</v>
      </c>
      <c r="C2" s="1">
        <v>3</v>
      </c>
    </row>
    <row r="4" spans="1:3">
      <c r="A4" s="19"/>
    </row>
    <row r="5" spans="1:3">
      <c r="A5" s="25"/>
      <c r="B5" s="25"/>
      <c r="C5" s="25"/>
    </row>
    <row r="6" spans="1:3">
      <c r="A6" s="25"/>
      <c r="B6" s="25"/>
      <c r="C6" s="25"/>
    </row>
    <row r="7" spans="1:3">
      <c r="A7" s="25"/>
      <c r="B7" s="25"/>
      <c r="C7" s="25"/>
    </row>
    <row r="8" spans="1:3">
      <c r="A8" s="25"/>
      <c r="B8" s="25"/>
      <c r="C8" s="25"/>
    </row>
    <row r="9" spans="1:3">
      <c r="A9" s="25"/>
      <c r="B9" s="25"/>
      <c r="C9" s="25"/>
    </row>
    <row r="10" spans="1:3">
      <c r="A10" s="25"/>
      <c r="B10" s="25"/>
      <c r="C10" s="2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A2C6-7E3A-4E70-B865-C0873A802D29}">
  <dimension ref="A1:D12"/>
  <sheetViews>
    <sheetView workbookViewId="0">
      <selection sqref="A1:D1"/>
    </sheetView>
  </sheetViews>
  <sheetFormatPr baseColWidth="10" defaultRowHeight="15"/>
  <cols>
    <col min="1" max="1" width="13.7109375" bestFit="1" customWidth="1"/>
    <col min="2" max="2" width="27.42578125" customWidth="1"/>
    <col min="3" max="3" width="16.28515625" bestFit="1" customWidth="1"/>
  </cols>
  <sheetData>
    <row r="1" spans="1:4" ht="30">
      <c r="A1" s="31" t="s">
        <v>44</v>
      </c>
      <c r="B1" s="32" t="s">
        <v>112</v>
      </c>
      <c r="C1" s="31" t="s">
        <v>45</v>
      </c>
      <c r="D1" s="31" t="s">
        <v>46</v>
      </c>
    </row>
    <row r="2" spans="1:4">
      <c r="A2" s="26">
        <f>(SUM($B2:$B5)/$D2)</f>
        <v>26.666666666666668</v>
      </c>
      <c r="B2" s="13">
        <v>20</v>
      </c>
      <c r="C2" s="26">
        <v>1</v>
      </c>
      <c r="D2" s="26">
        <f>MAX(C2:C7)</f>
        <v>3</v>
      </c>
    </row>
    <row r="3" spans="1:4">
      <c r="A3" s="26"/>
      <c r="B3" s="26">
        <v>35</v>
      </c>
      <c r="C3" s="26">
        <v>2</v>
      </c>
      <c r="D3" s="26"/>
    </row>
    <row r="4" spans="1:4">
      <c r="A4" s="26"/>
      <c r="B4" s="26">
        <v>25</v>
      </c>
      <c r="C4" s="26">
        <v>3</v>
      </c>
      <c r="D4" s="26"/>
    </row>
    <row r="5" spans="1:4">
      <c r="A5" s="26"/>
      <c r="B5" s="26"/>
      <c r="C5" s="26"/>
      <c r="D5" s="26"/>
    </row>
    <row r="6" spans="1:4">
      <c r="A6" s="28"/>
      <c r="B6" s="26"/>
      <c r="C6" s="26"/>
      <c r="D6" s="26"/>
    </row>
    <row r="7" spans="1:4">
      <c r="A7" s="25"/>
      <c r="B7" s="25"/>
      <c r="C7" s="25"/>
      <c r="D7" s="26"/>
    </row>
    <row r="8" spans="1:4">
      <c r="A8" s="25"/>
      <c r="B8" s="25"/>
      <c r="C8" s="25"/>
    </row>
    <row r="9" spans="1:4">
      <c r="A9" s="25"/>
      <c r="B9" s="25"/>
      <c r="C9" s="25"/>
    </row>
    <row r="10" spans="1:4">
      <c r="A10" s="25"/>
      <c r="B10" s="25"/>
      <c r="C10" s="25"/>
    </row>
    <row r="11" spans="1:4">
      <c r="A11" s="25"/>
      <c r="B11" s="25"/>
      <c r="C11" s="25"/>
    </row>
    <row r="12" spans="1:4">
      <c r="A12" s="25"/>
      <c r="B12" s="25"/>
      <c r="C12" s="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CA51-105E-46F6-B607-DD3E2A1BAAAC}">
  <dimension ref="A1:E18"/>
  <sheetViews>
    <sheetView workbookViewId="0">
      <selection activeCell="F10" sqref="F10"/>
    </sheetView>
  </sheetViews>
  <sheetFormatPr baseColWidth="10" defaultRowHeight="15"/>
  <cols>
    <col min="1" max="1" width="23.85546875" customWidth="1"/>
  </cols>
  <sheetData>
    <row r="1" spans="1:5">
      <c r="A1" s="27" t="s">
        <v>113</v>
      </c>
      <c r="B1" s="26"/>
      <c r="C1" s="26"/>
      <c r="D1" s="26"/>
      <c r="E1" s="26"/>
    </row>
    <row r="2" spans="1:5" ht="15" customHeight="1">
      <c r="A2" s="21" t="s">
        <v>114</v>
      </c>
      <c r="B2" s="21"/>
      <c r="C2" s="21"/>
      <c r="D2" s="21"/>
      <c r="E2" s="21"/>
    </row>
    <row r="3" spans="1:5">
      <c r="A3" s="21"/>
      <c r="B3" s="21"/>
      <c r="C3" s="21"/>
      <c r="D3" s="21"/>
      <c r="E3" s="21"/>
    </row>
    <row r="4" spans="1:5">
      <c r="A4" s="21"/>
      <c r="B4" s="21"/>
      <c r="C4" s="21"/>
      <c r="D4" s="21"/>
      <c r="E4" s="21"/>
    </row>
    <row r="5" spans="1:5">
      <c r="A5" s="21"/>
      <c r="B5" s="21"/>
      <c r="C5" s="21"/>
      <c r="D5" s="21"/>
      <c r="E5" s="21"/>
    </row>
    <row r="6" spans="1:5">
      <c r="A6" s="21"/>
      <c r="B6" s="21"/>
      <c r="C6" s="21"/>
      <c r="D6" s="21"/>
      <c r="E6" s="21"/>
    </row>
    <row r="7" spans="1:5">
      <c r="A7" s="30" t="s">
        <v>115</v>
      </c>
      <c r="B7" s="30"/>
      <c r="C7" s="26"/>
      <c r="D7" s="26"/>
      <c r="E7" s="26"/>
    </row>
    <row r="8" spans="1:5">
      <c r="A8" s="21" t="s">
        <v>116</v>
      </c>
      <c r="B8" s="21"/>
      <c r="C8" s="21"/>
      <c r="D8" s="21"/>
      <c r="E8" s="21"/>
    </row>
    <row r="9" spans="1:5">
      <c r="A9" s="21"/>
      <c r="B9" s="21"/>
      <c r="C9" s="21"/>
      <c r="D9" s="21"/>
      <c r="E9" s="21"/>
    </row>
    <row r="10" spans="1:5">
      <c r="A10" s="21"/>
      <c r="B10" s="21"/>
      <c r="C10" s="21"/>
      <c r="D10" s="21"/>
      <c r="E10" s="21"/>
    </row>
    <row r="11" spans="1:5">
      <c r="A11" s="21"/>
      <c r="B11" s="21"/>
      <c r="C11" s="21"/>
      <c r="D11" s="21"/>
      <c r="E11" s="21"/>
    </row>
    <row r="12" spans="1:5">
      <c r="A12" s="21"/>
      <c r="B12" s="21"/>
      <c r="C12" s="21"/>
      <c r="D12" s="21"/>
      <c r="E12" s="21"/>
    </row>
    <row r="13" spans="1:5">
      <c r="A13" s="30" t="s">
        <v>117</v>
      </c>
      <c r="B13" s="30"/>
      <c r="C13" s="30"/>
      <c r="D13" s="30"/>
      <c r="E13" s="30"/>
    </row>
    <row r="14" spans="1:5">
      <c r="A14" s="21" t="s">
        <v>118</v>
      </c>
      <c r="B14" s="21"/>
      <c r="C14" s="21"/>
      <c r="D14" s="21"/>
      <c r="E14" s="21"/>
    </row>
    <row r="15" spans="1:5">
      <c r="A15" s="21"/>
      <c r="B15" s="21"/>
      <c r="C15" s="21"/>
      <c r="D15" s="21"/>
      <c r="E15" s="21"/>
    </row>
    <row r="16" spans="1:5">
      <c r="A16" s="21"/>
      <c r="B16" s="21"/>
      <c r="C16" s="21"/>
      <c r="D16" s="21"/>
      <c r="E16" s="21"/>
    </row>
    <row r="17" spans="1:5">
      <c r="A17" s="21"/>
      <c r="B17" s="21"/>
      <c r="C17" s="21"/>
      <c r="D17" s="21"/>
      <c r="E17" s="21"/>
    </row>
    <row r="18" spans="1:5">
      <c r="A18" s="21"/>
      <c r="B18" s="21"/>
      <c r="C18" s="21"/>
      <c r="D18" s="21"/>
      <c r="E18" s="21"/>
    </row>
  </sheetData>
  <mergeCells count="5">
    <mergeCell ref="A14:E18"/>
    <mergeCell ref="A2:E6"/>
    <mergeCell ref="A7:B7"/>
    <mergeCell ref="A8:E12"/>
    <mergeCell ref="A13:E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CASO DE USO</vt:lpstr>
      <vt:lpstr>RF</vt:lpstr>
      <vt:lpstr>RNF</vt:lpstr>
      <vt:lpstr>Reglas de Negocio</vt:lpstr>
      <vt:lpstr>Matriz de Trazabilidad</vt:lpstr>
      <vt:lpstr>Metricas</vt:lpstr>
      <vt:lpstr>MTBF</vt:lpstr>
      <vt:lpstr>MTTR</vt:lpstr>
      <vt:lpstr>Interpretaciones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Daniel Coronado Nova</dc:creator>
  <cp:lastModifiedBy>Jorge Daniel Coronado Nova</cp:lastModifiedBy>
  <dcterms:created xsi:type="dcterms:W3CDTF">2025-12-08T20:46:23Z</dcterms:created>
  <dcterms:modified xsi:type="dcterms:W3CDTF">2025-12-09T02:52:24Z</dcterms:modified>
</cp:coreProperties>
</file>